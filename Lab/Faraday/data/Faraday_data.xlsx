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88\Desktop\IISER-K\semester 8\Advanced optics lab\"/>
    </mc:Choice>
  </mc:AlternateContent>
  <xr:revisionPtr revIDLastSave="0" documentId="8_{28282EF1-885F-48E5-A16F-D9645509DDF8}" xr6:coauthVersionLast="47" xr6:coauthVersionMax="47" xr10:uidLastSave="{00000000-0000-0000-0000-000000000000}"/>
  <bookViews>
    <workbookView xWindow="-108" yWindow="-108" windowWidth="23256" windowHeight="12456" activeTab="2" xr2:uid="{2DBE527F-EC50-4FAB-947D-9A87A24C40C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E5" i="3" s="1"/>
  <c r="D6" i="3"/>
  <c r="D7" i="3"/>
  <c r="D8" i="3"/>
  <c r="D9" i="3"/>
  <c r="D10" i="3"/>
  <c r="D11" i="3"/>
  <c r="E11" i="3" s="1"/>
  <c r="D12" i="3"/>
  <c r="D13" i="3"/>
  <c r="E13" i="3" s="1"/>
  <c r="E4" i="1"/>
  <c r="E5" i="1"/>
  <c r="E6" i="1"/>
  <c r="E7" i="1"/>
  <c r="E8" i="1"/>
  <c r="E9" i="1"/>
  <c r="E10" i="1"/>
  <c r="E11" i="1"/>
  <c r="E12" i="1"/>
  <c r="E13" i="1"/>
  <c r="E3" i="1"/>
  <c r="D2" i="3"/>
  <c r="B3" i="3"/>
  <c r="E3" i="3" s="1"/>
  <c r="B13" i="3"/>
  <c r="B12" i="3"/>
  <c r="B11" i="3"/>
  <c r="B10" i="3"/>
  <c r="B9" i="3"/>
  <c r="B8" i="3"/>
  <c r="B7" i="3"/>
  <c r="B6" i="3"/>
  <c r="B5" i="3"/>
  <c r="B4" i="3"/>
  <c r="B2" i="3"/>
  <c r="D3" i="1"/>
  <c r="D4" i="1"/>
  <c r="D5" i="1"/>
  <c r="D6" i="1"/>
  <c r="D7" i="1"/>
  <c r="D8" i="1"/>
  <c r="D9" i="1"/>
  <c r="D10" i="1"/>
  <c r="D11" i="1"/>
  <c r="D12" i="1"/>
  <c r="D13" i="1"/>
  <c r="D2" i="1"/>
  <c r="B2" i="1"/>
  <c r="B12" i="2"/>
  <c r="B11" i="2"/>
  <c r="B10" i="2"/>
  <c r="B9" i="2"/>
  <c r="B8" i="2"/>
  <c r="B3" i="2"/>
  <c r="B4" i="2"/>
  <c r="B5" i="2"/>
  <c r="B6" i="2"/>
  <c r="B7" i="2"/>
  <c r="B2" i="2"/>
  <c r="B13" i="1"/>
  <c r="B12" i="1"/>
  <c r="B11" i="1"/>
  <c r="B10" i="1"/>
  <c r="B9" i="1"/>
  <c r="B8" i="1"/>
  <c r="B7" i="1"/>
  <c r="B6" i="1"/>
  <c r="B3" i="1"/>
  <c r="B4" i="1"/>
  <c r="B5" i="1"/>
  <c r="E12" i="3" l="1"/>
  <c r="E10" i="3"/>
  <c r="E9" i="3"/>
  <c r="E8" i="3"/>
  <c r="E7" i="3"/>
  <c r="E6" i="3"/>
  <c r="E4" i="3"/>
</calcChain>
</file>

<file path=xl/sharedStrings.xml><?xml version="1.0" encoding="utf-8"?>
<sst xmlns="http://schemas.openxmlformats.org/spreadsheetml/2006/main" count="13" uniqueCount="6">
  <si>
    <t xml:space="preserve">Current </t>
  </si>
  <si>
    <t xml:space="preserve">Magnetic field </t>
  </si>
  <si>
    <t xml:space="preserve">Theta in P2(Degrees) </t>
  </si>
  <si>
    <t xml:space="preserve">Verdet constant </t>
  </si>
  <si>
    <t>Intensity (uA)</t>
  </si>
  <si>
    <t>Angle(Diff)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</si>
</sst>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Angle(Diff) (min)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Sheet1!$B$2:$B$13</c:f>
              <c:numCache>
                <c:formatCode>General</c:formatCode>
                <c:ptCount val="12"/>
                <c:pt idx="0">
                  <c:v>0</c:v>
                </c:pt>
                <c:pt idx="1">
                  <c:v>210.10971667208537</c:v>
                </c:pt>
                <c:pt idx="2">
                  <c:v>420.21943334417074</c:v>
                </c:pt>
                <c:pt idx="3">
                  <c:v>640.83463584986032</c:v>
                </c:pt>
                <c:pt idx="4">
                  <c:v>840.43886668834148</c:v>
                </c:pt>
                <c:pt idx="5">
                  <c:v>1061.0540691940312</c:v>
                </c:pt>
                <c:pt idx="6">
                  <c:v>1260.6583000325122</c:v>
                </c:pt>
                <c:pt idx="7">
                  <c:v>1465.5152737877954</c:v>
                </c:pt>
                <c:pt idx="8">
                  <c:v>1691.3832192102873</c:v>
                </c:pt>
                <c:pt idx="9">
                  <c:v>1885.7347071319662</c:v>
                </c:pt>
                <c:pt idx="10">
                  <c:v>2111.6026525544576</c:v>
                </c:pt>
                <c:pt idx="11">
                  <c:v>2253.4267113081155</c:v>
                </c:pt>
              </c:numCache>
            </c:numRef>
          </c:xVal>
          <c:yVal>
            <c:numRef>
              <c:f>Sheet1!$D$2:$D$13</c:f>
              <c:numCache>
                <c:formatCode>General</c:formatCode>
                <c:ptCount val="12"/>
                <c:pt idx="0">
                  <c:v>0</c:v>
                </c:pt>
                <c:pt idx="1">
                  <c:v>24.000000000000341</c:v>
                </c:pt>
                <c:pt idx="2">
                  <c:v>72.000000000000171</c:v>
                </c:pt>
                <c:pt idx="3">
                  <c:v>114.00000000000034</c:v>
                </c:pt>
                <c:pt idx="4">
                  <c:v>150</c:v>
                </c:pt>
                <c:pt idx="5">
                  <c:v>192.00000000000017</c:v>
                </c:pt>
                <c:pt idx="6">
                  <c:v>240</c:v>
                </c:pt>
                <c:pt idx="7">
                  <c:v>294.00000000000034</c:v>
                </c:pt>
                <c:pt idx="8">
                  <c:v>312.00000000000017</c:v>
                </c:pt>
                <c:pt idx="9">
                  <c:v>347.99999999999983</c:v>
                </c:pt>
                <c:pt idx="10">
                  <c:v>402.00000000000017</c:v>
                </c:pt>
                <c:pt idx="11">
                  <c:v>444.00000000000034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3-442F-90EF-649CF480B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468704"/>
        <c:axId val="1179485504"/>
      </c:scatterChart>
      <c:valAx>
        <c:axId val="11794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85504"/>
        <c:crosses val="autoZero"/>
        <c:crossBetween val="midCat"/>
      </c:valAx>
      <c:valAx>
        <c:axId val="11794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6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Intensity (uA)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Sheet2!$A$2:$A$12</c:f>
              <c:numCache>
                <c:formatCode>General</c:formatCode>
                <c:ptCount val="11"/>
                <c:pt idx="0">
                  <c:v>0</c:v>
                </c:pt>
                <c:pt idx="1">
                  <c:v>0.4</c:v>
                </c:pt>
                <c:pt idx="2">
                  <c:v>0.84</c:v>
                </c:pt>
                <c:pt idx="3">
                  <c:v>1.1200000000000001</c:v>
                </c:pt>
                <c:pt idx="4">
                  <c:v>1.63</c:v>
                </c:pt>
                <c:pt idx="5">
                  <c:v>2.0499999999999998</c:v>
                </c:pt>
                <c:pt idx="6">
                  <c:v>2.4300000000000002</c:v>
                </c:pt>
                <c:pt idx="7">
                  <c:v>2.83</c:v>
                </c:pt>
                <c:pt idx="8">
                  <c:v>3.16</c:v>
                </c:pt>
                <c:pt idx="9">
                  <c:v>3.6</c:v>
                </c:pt>
                <c:pt idx="10">
                  <c:v>3.99</c:v>
                </c:pt>
              </c:numCache>
            </c:numRef>
          </c:xVal>
          <c:yVal>
            <c:numRef>
              <c:f>Sheet2!$C$2:$C$12</c:f>
              <c:numCache>
                <c:formatCode>General</c:formatCode>
                <c:ptCount val="11"/>
                <c:pt idx="0">
                  <c:v>0.8</c:v>
                </c:pt>
                <c:pt idx="1">
                  <c:v>1.3</c:v>
                </c:pt>
                <c:pt idx="2">
                  <c:v>2.5</c:v>
                </c:pt>
                <c:pt idx="3">
                  <c:v>4.0999999999999996</c:v>
                </c:pt>
                <c:pt idx="4">
                  <c:v>6.9</c:v>
                </c:pt>
                <c:pt idx="5">
                  <c:v>9.8000000000000007</c:v>
                </c:pt>
                <c:pt idx="6">
                  <c:v>12.8</c:v>
                </c:pt>
                <c:pt idx="7">
                  <c:v>16.2</c:v>
                </c:pt>
                <c:pt idx="8">
                  <c:v>20.3</c:v>
                </c:pt>
                <c:pt idx="9">
                  <c:v>24.5</c:v>
                </c:pt>
                <c:pt idx="10">
                  <c:v>28.4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4-47F0-B6BA-03540E2F7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187616"/>
        <c:axId val="1353191456"/>
      </c:scatterChart>
      <c:valAx>
        <c:axId val="135318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91456"/>
        <c:crosses val="autoZero"/>
        <c:crossBetween val="midCat"/>
      </c:valAx>
      <c:valAx>
        <c:axId val="13531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8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Intensity (uA)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Sheet2!$B$2:$B$12</c:f>
              <c:numCache>
                <c:formatCode>General</c:formatCode>
                <c:ptCount val="11"/>
                <c:pt idx="0">
                  <c:v>0</c:v>
                </c:pt>
                <c:pt idx="1">
                  <c:v>210.10971667208537</c:v>
                </c:pt>
                <c:pt idx="2">
                  <c:v>441.23040501137928</c:v>
                </c:pt>
                <c:pt idx="3">
                  <c:v>588.30720668183903</c:v>
                </c:pt>
                <c:pt idx="4">
                  <c:v>856.19709543874785</c:v>
                </c:pt>
                <c:pt idx="5">
                  <c:v>1076.8122979444374</c:v>
                </c:pt>
                <c:pt idx="6">
                  <c:v>1276.4165287829187</c:v>
                </c:pt>
                <c:pt idx="7">
                  <c:v>1486.5262454550041</c:v>
                </c:pt>
                <c:pt idx="8">
                  <c:v>1659.8667617094745</c:v>
                </c:pt>
                <c:pt idx="9">
                  <c:v>1890.9874500487683</c:v>
                </c:pt>
                <c:pt idx="10">
                  <c:v>2095.8444238040515</c:v>
                </c:pt>
              </c:numCache>
            </c:numRef>
          </c:xVal>
          <c:yVal>
            <c:numRef>
              <c:f>Sheet2!$C$2:$C$12</c:f>
              <c:numCache>
                <c:formatCode>General</c:formatCode>
                <c:ptCount val="11"/>
                <c:pt idx="0">
                  <c:v>0.8</c:v>
                </c:pt>
                <c:pt idx="1">
                  <c:v>1.3</c:v>
                </c:pt>
                <c:pt idx="2">
                  <c:v>2.5</c:v>
                </c:pt>
                <c:pt idx="3">
                  <c:v>4.0999999999999996</c:v>
                </c:pt>
                <c:pt idx="4">
                  <c:v>6.9</c:v>
                </c:pt>
                <c:pt idx="5">
                  <c:v>9.8000000000000007</c:v>
                </c:pt>
                <c:pt idx="6">
                  <c:v>12.8</c:v>
                </c:pt>
                <c:pt idx="7">
                  <c:v>16.2</c:v>
                </c:pt>
                <c:pt idx="8">
                  <c:v>20.3</c:v>
                </c:pt>
                <c:pt idx="9">
                  <c:v>24.5</c:v>
                </c:pt>
                <c:pt idx="10">
                  <c:v>28.4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9-4B20-B775-3F220E98F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620368"/>
        <c:axId val="1339619888"/>
      </c:scatterChart>
      <c:valAx>
        <c:axId val="133962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19888"/>
        <c:crosses val="autoZero"/>
        <c:crossBetween val="midCat"/>
      </c:valAx>
      <c:valAx>
        <c:axId val="13396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2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Sheet3!$B$2:$B$11</c:f>
              <c:numCache>
                <c:formatCode>General</c:formatCode>
                <c:ptCount val="10"/>
                <c:pt idx="0">
                  <c:v>0</c:v>
                </c:pt>
                <c:pt idx="1">
                  <c:v>210.10971667208537</c:v>
                </c:pt>
                <c:pt idx="2">
                  <c:v>451.73589084498354</c:v>
                </c:pt>
                <c:pt idx="3">
                  <c:v>640.83463584986032</c:v>
                </c:pt>
                <c:pt idx="4">
                  <c:v>850.9443525219458</c:v>
                </c:pt>
                <c:pt idx="5">
                  <c:v>1071.5595550276355</c:v>
                </c:pt>
                <c:pt idx="6">
                  <c:v>1271.1637858661165</c:v>
                </c:pt>
                <c:pt idx="7">
                  <c:v>1428.7460733701805</c:v>
                </c:pt>
                <c:pt idx="8">
                  <c:v>1733.4051625447041</c:v>
                </c:pt>
                <c:pt idx="9">
                  <c:v>1933.0093933831854</c:v>
                </c:pt>
              </c:numCache>
            </c:numRef>
          </c:xVal>
          <c:yVal>
            <c:numRef>
              <c:f>Sheet3!$D$2:$D$11</c:f>
              <c:numCache>
                <c:formatCode>General</c:formatCode>
                <c:ptCount val="10"/>
                <c:pt idx="0">
                  <c:v>0</c:v>
                </c:pt>
                <c:pt idx="1">
                  <c:v>24.000000000000341</c:v>
                </c:pt>
                <c:pt idx="2">
                  <c:v>60</c:v>
                </c:pt>
                <c:pt idx="3">
                  <c:v>114.00000000000034</c:v>
                </c:pt>
                <c:pt idx="4">
                  <c:v>144.00000000000034</c:v>
                </c:pt>
                <c:pt idx="5">
                  <c:v>192.00000000000017</c:v>
                </c:pt>
                <c:pt idx="6">
                  <c:v>245.99999999999966</c:v>
                </c:pt>
                <c:pt idx="7">
                  <c:v>275.99999999999966</c:v>
                </c:pt>
                <c:pt idx="8">
                  <c:v>324.00000000000034</c:v>
                </c:pt>
                <c:pt idx="9">
                  <c:v>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F-431B-8134-F8058631D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627648"/>
        <c:axId val="1673626688"/>
      </c:scatterChart>
      <c:valAx>
        <c:axId val="167362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626688"/>
        <c:crosses val="autoZero"/>
        <c:crossBetween val="midCat"/>
      </c:valAx>
      <c:valAx>
        <c:axId val="16736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62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487680</xdr:colOff>
      <xdr:row>2</xdr:row>
      <xdr:rowOff>163830</xdr:rowOff>
    </xdr:from>
    <xdr:to>
      <xdr:col>18</xdr:col>
      <xdr:colOff>182880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AA8E7-6489-6E6B-93AF-DCB17EF45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601980</xdr:colOff>
      <xdr:row>5</xdr:row>
      <xdr:rowOff>110490</xdr:rowOff>
    </xdr:from>
    <xdr:to>
      <xdr:col>19</xdr:col>
      <xdr:colOff>297180</xdr:colOff>
      <xdr:row>20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0F1E3-0B77-C5AB-57C0-FBA4CB357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464820</xdr:colOff>
      <xdr:row>2</xdr:row>
      <xdr:rowOff>72390</xdr:rowOff>
    </xdr:from>
    <xdr:to>
      <xdr:col>11</xdr:col>
      <xdr:colOff>381000</xdr:colOff>
      <xdr:row>17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BE0A77-AF37-5E6E-8A4E-6F614022A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4</xdr:row>
      <xdr:rowOff>41910</xdr:rowOff>
    </xdr:from>
    <xdr:to>
      <xdr:col>16</xdr:col>
      <xdr:colOff>22860</xdr:colOff>
      <xdr:row>19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9613F9-2D69-B1D6-CDA2-A2F2AA8BB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F7DC-19BA-4691-8635-A0D3EB4EA725}">
  <dimension ref="A1:H16"/>
  <sheetViews>
    <sheetView workbookViewId="0">
      <selection activeCell="E18" sqref="E18"/>
    </sheetView>
  </sheetViews>
  <sheetFormatPr defaultRowHeight="14.4" x14ac:dyDescent="0.3"/>
  <cols>
    <col min="2" max="2" width="13.109375" bestFit="1" customWidth="1"/>
    <col min="3" max="3" width="18.33203125" bestFit="1" customWidth="1"/>
    <col min="4" max="4" width="9.5546875" bestFit="1" customWidth="1"/>
    <col min="5" max="5" width="1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</row>
    <row r="2" spans="1:8" x14ac:dyDescent="0.3">
      <c r="A2">
        <v>0</v>
      </c>
      <c r="B2">
        <f xml:space="preserve"> PI()*167.2*A2</f>
        <v>0</v>
      </c>
      <c r="C2">
        <v>112</v>
      </c>
      <c r="D2">
        <f xml:space="preserve"> (C2-112)*60</f>
        <v>0</v>
      </c>
    </row>
    <row r="3" spans="1:8" x14ac:dyDescent="0.3">
      <c r="A3">
        <v>0.4</v>
      </c>
      <c r="B3">
        <f t="shared" ref="B3:B6" si="0" xml:space="preserve"> PI()*167.2*A3</f>
        <v>210.10971667208537</v>
      </c>
      <c r="C3">
        <v>112.4</v>
      </c>
      <c r="D3">
        <f t="shared" ref="D3:D13" si="1" xml:space="preserve"> (C3-112)*60</f>
        <v>24.000000000000341</v>
      </c>
      <c r="E3">
        <f xml:space="preserve"> D3/(B3*10)</f>
        <v>1.1422603571188824E-2</v>
      </c>
    </row>
    <row r="4" spans="1:8" x14ac:dyDescent="0.3">
      <c r="A4">
        <v>0.8</v>
      </c>
      <c r="B4">
        <f t="shared" si="0"/>
        <v>420.21943334417074</v>
      </c>
      <c r="C4">
        <v>113.2</v>
      </c>
      <c r="D4">
        <f t="shared" si="1"/>
        <v>72.000000000000171</v>
      </c>
      <c r="E4">
        <f t="shared" ref="E4:E13" si="2" xml:space="preserve"> D4/(B4*10)</f>
        <v>1.7133905356783032E-2</v>
      </c>
    </row>
    <row r="5" spans="1:8" x14ac:dyDescent="0.3">
      <c r="A5">
        <v>1.22</v>
      </c>
      <c r="B5">
        <f t="shared" si="0"/>
        <v>640.83463584986032</v>
      </c>
      <c r="C5">
        <v>113.9</v>
      </c>
      <c r="D5">
        <f t="shared" si="1"/>
        <v>114.00000000000034</v>
      </c>
      <c r="E5">
        <f t="shared" si="2"/>
        <v>1.7789300643654526E-2</v>
      </c>
    </row>
    <row r="6" spans="1:8" x14ac:dyDescent="0.3">
      <c r="A6">
        <v>1.6</v>
      </c>
      <c r="B6">
        <f t="shared" si="0"/>
        <v>840.43886668834148</v>
      </c>
      <c r="C6">
        <v>114.5</v>
      </c>
      <c r="D6">
        <f t="shared" si="1"/>
        <v>150</v>
      </c>
      <c r="E6">
        <f t="shared" si="2"/>
        <v>1.7847818079982283E-2</v>
      </c>
    </row>
    <row r="7" spans="1:8" x14ac:dyDescent="0.3">
      <c r="A7">
        <v>2.02</v>
      </c>
      <c r="B7">
        <f t="shared" ref="B7:B13" si="3" xml:space="preserve"> PI()*167.2*A7</f>
        <v>1061.0540691940312</v>
      </c>
      <c r="C7">
        <v>115.2</v>
      </c>
      <c r="D7">
        <f t="shared" si="1"/>
        <v>192.00000000000017</v>
      </c>
      <c r="E7">
        <f t="shared" si="2"/>
        <v>1.8095213578120665E-2</v>
      </c>
    </row>
    <row r="8" spans="1:8" x14ac:dyDescent="0.3">
      <c r="A8">
        <v>2.4</v>
      </c>
      <c r="B8">
        <f t="shared" si="3"/>
        <v>1260.6583000325122</v>
      </c>
      <c r="C8">
        <v>116</v>
      </c>
      <c r="D8">
        <f t="shared" si="1"/>
        <v>240</v>
      </c>
      <c r="E8">
        <f t="shared" si="2"/>
        <v>1.903767261864777E-2</v>
      </c>
    </row>
    <row r="9" spans="1:8" x14ac:dyDescent="0.3">
      <c r="A9">
        <v>2.79</v>
      </c>
      <c r="B9">
        <f t="shared" si="3"/>
        <v>1465.5152737877954</v>
      </c>
      <c r="C9">
        <v>116.9</v>
      </c>
      <c r="D9">
        <f t="shared" si="1"/>
        <v>294.00000000000034</v>
      </c>
      <c r="E9">
        <f t="shared" si="2"/>
        <v>2.0061203404596595E-2</v>
      </c>
    </row>
    <row r="10" spans="1:8" x14ac:dyDescent="0.3">
      <c r="A10">
        <v>3.22</v>
      </c>
      <c r="B10">
        <f t="shared" si="3"/>
        <v>1691.3832192102873</v>
      </c>
      <c r="C10">
        <v>117.2</v>
      </c>
      <c r="D10">
        <f t="shared" si="1"/>
        <v>312.00000000000017</v>
      </c>
      <c r="E10">
        <f t="shared" si="2"/>
        <v>1.8446440549745674E-2</v>
      </c>
    </row>
    <row r="11" spans="1:8" x14ac:dyDescent="0.3">
      <c r="A11">
        <v>3.59</v>
      </c>
      <c r="B11">
        <f t="shared" si="3"/>
        <v>1885.7347071319662</v>
      </c>
      <c r="C11">
        <v>117.8</v>
      </c>
      <c r="D11">
        <f t="shared" si="1"/>
        <v>347.99999999999983</v>
      </c>
      <c r="E11">
        <f t="shared" si="2"/>
        <v>1.8454345602477492E-2</v>
      </c>
    </row>
    <row r="12" spans="1:8" x14ac:dyDescent="0.3">
      <c r="A12">
        <v>4.0199999999999996</v>
      </c>
      <c r="B12">
        <f t="shared" si="3"/>
        <v>2111.6026525544576</v>
      </c>
      <c r="C12">
        <v>118.7</v>
      </c>
      <c r="D12">
        <f t="shared" si="1"/>
        <v>402.00000000000017</v>
      </c>
      <c r="E12">
        <f t="shared" si="2"/>
        <v>1.9037672618647777E-2</v>
      </c>
    </row>
    <row r="13" spans="1:8" x14ac:dyDescent="0.3">
      <c r="A13">
        <v>4.29</v>
      </c>
      <c r="B13">
        <f t="shared" si="3"/>
        <v>2253.4267113081155</v>
      </c>
      <c r="C13">
        <v>119.4</v>
      </c>
      <c r="D13">
        <f t="shared" si="1"/>
        <v>444.00000000000034</v>
      </c>
      <c r="E13">
        <f t="shared" si="2"/>
        <v>1.9703325507411693E-2</v>
      </c>
    </row>
    <row r="16" spans="1:8" x14ac:dyDescent="0.3">
      <c r="H16">
        <v>0.19633156131768101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1F22-4214-4C60-8C55-4B12020D5029}">
  <dimension ref="A1:C12"/>
  <sheetViews>
    <sheetView workbookViewId="0">
      <selection activeCell="C2" sqref="C2:C12"/>
    </sheetView>
  </sheetViews>
  <sheetFormatPr defaultRowHeight="14.4" x14ac:dyDescent="0.3"/>
  <cols>
    <col min="2" max="2" width="13.109375" bestFit="1" customWidth="1"/>
    <col min="3" max="3" width="18.33203125" bestFit="1" customWidth="1"/>
    <col min="4" max="4" width="9.5546875" bestFit="1" customWidth="1"/>
    <col min="5" max="5" width="14.5546875" bestFit="1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>
        <v>0</v>
      </c>
      <c r="B2">
        <f xml:space="preserve"> PI()*167.2*A2</f>
        <v>0</v>
      </c>
      <c r="C2">
        <v>0.8</v>
      </c>
    </row>
    <row r="3" spans="1:3" x14ac:dyDescent="0.3">
      <c r="A3">
        <v>0.4</v>
      </c>
      <c r="B3">
        <f t="shared" ref="B3:B12" si="0" xml:space="preserve"> PI()*167.2*A3</f>
        <v>210.10971667208537</v>
      </c>
      <c r="C3">
        <v>1.3</v>
      </c>
    </row>
    <row r="4" spans="1:3" x14ac:dyDescent="0.3">
      <c r="A4">
        <v>0.84</v>
      </c>
      <c r="B4">
        <f t="shared" si="0"/>
        <v>441.23040501137928</v>
      </c>
      <c r="C4">
        <v>2.5</v>
      </c>
    </row>
    <row r="5" spans="1:3" x14ac:dyDescent="0.3">
      <c r="A5">
        <v>1.1200000000000001</v>
      </c>
      <c r="B5">
        <f t="shared" si="0"/>
        <v>588.30720668183903</v>
      </c>
      <c r="C5">
        <v>4.0999999999999996</v>
      </c>
    </row>
    <row r="6" spans="1:3" x14ac:dyDescent="0.3">
      <c r="A6">
        <v>1.63</v>
      </c>
      <c r="B6">
        <f t="shared" si="0"/>
        <v>856.19709543874785</v>
      </c>
      <c r="C6">
        <v>6.9</v>
      </c>
    </row>
    <row r="7" spans="1:3" x14ac:dyDescent="0.3">
      <c r="A7">
        <v>2.0499999999999998</v>
      </c>
      <c r="B7">
        <f t="shared" si="0"/>
        <v>1076.8122979444374</v>
      </c>
      <c r="C7">
        <v>9.8000000000000007</v>
      </c>
    </row>
    <row r="8" spans="1:3" x14ac:dyDescent="0.3">
      <c r="A8">
        <v>2.4300000000000002</v>
      </c>
      <c r="B8">
        <f t="shared" si="0"/>
        <v>1276.4165287829187</v>
      </c>
      <c r="C8">
        <v>12.8</v>
      </c>
    </row>
    <row r="9" spans="1:3" x14ac:dyDescent="0.3">
      <c r="A9">
        <v>2.83</v>
      </c>
      <c r="B9">
        <f t="shared" si="0"/>
        <v>1486.5262454550041</v>
      </c>
      <c r="C9">
        <v>16.2</v>
      </c>
    </row>
    <row r="10" spans="1:3" x14ac:dyDescent="0.3">
      <c r="A10">
        <v>3.16</v>
      </c>
      <c r="B10">
        <f t="shared" si="0"/>
        <v>1659.8667617094745</v>
      </c>
      <c r="C10">
        <v>20.3</v>
      </c>
    </row>
    <row r="11" spans="1:3" x14ac:dyDescent="0.3">
      <c r="A11">
        <v>3.6</v>
      </c>
      <c r="B11">
        <f t="shared" si="0"/>
        <v>1890.9874500487683</v>
      </c>
      <c r="C11">
        <v>24.5</v>
      </c>
    </row>
    <row r="12" spans="1:3" x14ac:dyDescent="0.3">
      <c r="A12">
        <v>3.99</v>
      </c>
      <c r="B12">
        <f t="shared" si="0"/>
        <v>2095.8444238040515</v>
      </c>
      <c r="C12">
        <v>28.4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29C5-D690-4190-B67D-6F18639130C2}">
  <dimension ref="A1:E13"/>
  <sheetViews>
    <sheetView tabSelected="1" workbookViewId="0">
      <selection activeCell="F18" sqref="F18"/>
    </sheetView>
  </sheetViews>
  <sheetFormatPr defaultRowHeight="14.4" x14ac:dyDescent="0.3"/>
  <cols>
    <col min="2" max="2" width="13.109375" bestFit="1" customWidth="1"/>
    <col min="3" max="3" width="18.33203125" bestFit="1" customWidth="1"/>
    <col min="4" max="4" width="14.21875" bestFit="1" customWidth="1"/>
    <col min="5" max="5" width="1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</row>
    <row r="2" spans="1:5" x14ac:dyDescent="0.3">
      <c r="A2">
        <v>0</v>
      </c>
      <c r="B2">
        <f xml:space="preserve"> PI()*167.2*A2</f>
        <v>0</v>
      </c>
      <c r="C2">
        <v>110</v>
      </c>
      <c r="D2">
        <f xml:space="preserve"> (C2-110)*60</f>
        <v>0</v>
      </c>
    </row>
    <row r="3" spans="1:5" x14ac:dyDescent="0.3">
      <c r="A3">
        <v>0.4</v>
      </c>
      <c r="B3">
        <f xml:space="preserve"> PI()*167.2*A3</f>
        <v>210.10971667208537</v>
      </c>
      <c r="C3">
        <v>110.4</v>
      </c>
      <c r="D3">
        <f t="shared" ref="D3:D13" si="0" xml:space="preserve"> (C3-110)*60</f>
        <v>24.000000000000341</v>
      </c>
      <c r="E3">
        <f xml:space="preserve"> D3/(B3*10)</f>
        <v>1.1422603571188824E-2</v>
      </c>
    </row>
    <row r="4" spans="1:5" x14ac:dyDescent="0.3">
      <c r="A4">
        <v>0.86</v>
      </c>
      <c r="B4">
        <f t="shared" ref="B4:B6" si="1" xml:space="preserve"> PI()*167.2*A4</f>
        <v>451.73589084498354</v>
      </c>
      <c r="C4">
        <v>111</v>
      </c>
      <c r="D4">
        <f t="shared" si="0"/>
        <v>60</v>
      </c>
      <c r="E4">
        <f t="shared" ref="E4:E13" si="2" xml:space="preserve"> D4/(B4*10)</f>
        <v>1.3282097175800768E-2</v>
      </c>
    </row>
    <row r="5" spans="1:5" x14ac:dyDescent="0.3">
      <c r="A5">
        <v>1.22</v>
      </c>
      <c r="B5">
        <f t="shared" si="1"/>
        <v>640.83463584986032</v>
      </c>
      <c r="C5">
        <v>111.9</v>
      </c>
      <c r="D5">
        <f t="shared" si="0"/>
        <v>114.00000000000034</v>
      </c>
      <c r="E5">
        <f t="shared" si="2"/>
        <v>1.7789300643654526E-2</v>
      </c>
    </row>
    <row r="6" spans="1:5" x14ac:dyDescent="0.3">
      <c r="A6">
        <v>1.62</v>
      </c>
      <c r="B6">
        <f t="shared" si="1"/>
        <v>850.9443525219458</v>
      </c>
      <c r="C6">
        <v>112.4</v>
      </c>
      <c r="D6">
        <f t="shared" si="0"/>
        <v>144.00000000000034</v>
      </c>
      <c r="E6">
        <f t="shared" si="2"/>
        <v>1.6922375661020277E-2</v>
      </c>
    </row>
    <row r="7" spans="1:5" x14ac:dyDescent="0.3">
      <c r="A7">
        <v>2.04</v>
      </c>
      <c r="B7">
        <f t="shared" ref="B7:B13" si="3" xml:space="preserve"> PI()*167.2*A7</f>
        <v>1071.5595550276355</v>
      </c>
      <c r="C7">
        <v>113.2</v>
      </c>
      <c r="D7">
        <f t="shared" si="0"/>
        <v>192.00000000000017</v>
      </c>
      <c r="E7">
        <f t="shared" si="2"/>
        <v>1.7917809523433206E-2</v>
      </c>
    </row>
    <row r="8" spans="1:5" x14ac:dyDescent="0.3">
      <c r="A8">
        <v>2.42</v>
      </c>
      <c r="B8">
        <f t="shared" si="3"/>
        <v>1271.1637858661165</v>
      </c>
      <c r="C8">
        <v>114.1</v>
      </c>
      <c r="D8">
        <f t="shared" si="0"/>
        <v>245.99999999999966</v>
      </c>
      <c r="E8">
        <f t="shared" si="2"/>
        <v>1.9352344893336135E-2</v>
      </c>
    </row>
    <row r="9" spans="1:5" x14ac:dyDescent="0.3">
      <c r="A9">
        <v>2.72</v>
      </c>
      <c r="B9">
        <f t="shared" si="3"/>
        <v>1428.7460733701805</v>
      </c>
      <c r="C9">
        <v>114.6</v>
      </c>
      <c r="D9">
        <f t="shared" si="0"/>
        <v>275.99999999999966</v>
      </c>
      <c r="E9">
        <f t="shared" si="2"/>
        <v>1.9317638392451385E-2</v>
      </c>
    </row>
    <row r="10" spans="1:5" x14ac:dyDescent="0.3">
      <c r="A10">
        <v>3.3</v>
      </c>
      <c r="B10">
        <f t="shared" si="3"/>
        <v>1733.4051625447041</v>
      </c>
      <c r="C10">
        <v>115.4</v>
      </c>
      <c r="D10">
        <f t="shared" si="0"/>
        <v>324.00000000000034</v>
      </c>
      <c r="E10">
        <f t="shared" si="2"/>
        <v>1.8691533116490557E-2</v>
      </c>
    </row>
    <row r="11" spans="1:5" x14ac:dyDescent="0.3">
      <c r="A11">
        <v>3.68</v>
      </c>
      <c r="B11">
        <f t="shared" si="3"/>
        <v>1933.0093933831854</v>
      </c>
      <c r="C11">
        <v>116</v>
      </c>
      <c r="D11">
        <f t="shared" si="0"/>
        <v>360</v>
      </c>
      <c r="E11">
        <f t="shared" si="2"/>
        <v>1.8623810170416297E-2</v>
      </c>
    </row>
    <row r="12" spans="1:5" x14ac:dyDescent="0.3">
      <c r="A12">
        <v>3.98</v>
      </c>
      <c r="B12">
        <f t="shared" si="3"/>
        <v>2090.5916808872494</v>
      </c>
      <c r="C12">
        <v>116.4</v>
      </c>
      <c r="D12">
        <f t="shared" si="0"/>
        <v>384.00000000000034</v>
      </c>
      <c r="E12">
        <f t="shared" si="2"/>
        <v>1.8368005742614948E-2</v>
      </c>
    </row>
    <row r="13" spans="1:5" x14ac:dyDescent="0.3">
      <c r="A13">
        <v>4.29</v>
      </c>
      <c r="B13">
        <f t="shared" si="3"/>
        <v>2253.4267113081155</v>
      </c>
      <c r="D13">
        <f t="shared" si="0"/>
        <v>-6600</v>
      </c>
      <c r="E13">
        <f t="shared" si="2"/>
        <v>-0.2928872710561195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Yadav</dc:creator>
  <cp:lastModifiedBy>Abhinandan Yadav</cp:lastModifiedBy>
  <dcterms:created xsi:type="dcterms:W3CDTF">2026-03-10T08:08:53Z</dcterms:created>
  <dcterms:modified xsi:type="dcterms:W3CDTF">2026-03-11T12:47:31Z</dcterms:modified>
</cp:coreProperties>
</file>