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ISER\Semester\Sem8\PH4201\Lab\Exp1\"/>
    </mc:Choice>
  </mc:AlternateContent>
  <xr:revisionPtr revIDLastSave="0" documentId="13_ncr:1_{10BCE672-C3AB-4FC0-81B4-890D48020D3F}" xr6:coauthVersionLast="47" xr6:coauthVersionMax="47" xr10:uidLastSave="{00000000-0000-0000-0000-000000000000}"/>
  <bookViews>
    <workbookView xWindow="-120" yWindow="-120" windowWidth="20730" windowHeight="11760" activeTab="4" xr2:uid="{4822E8BA-9B3D-4A60-A945-297CF761D648}"/>
  </bookViews>
  <sheets>
    <sheet name="Sheet1" sheetId="1" r:id="rId1"/>
    <sheet name="Sheet2" sheetId="2" r:id="rId2"/>
    <sheet name="Sheet3" sheetId="3" r:id="rId3"/>
    <sheet name="Sheet5" sheetId="5" r:id="rId4"/>
    <sheet name="Sheet4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4" i="4" l="1"/>
  <c r="C12" i="4"/>
  <c r="H8" i="4"/>
  <c r="H5" i="4"/>
  <c r="N8" i="3"/>
  <c r="I6" i="3"/>
  <c r="I7" i="3"/>
  <c r="I9" i="3"/>
  <c r="I10" i="3"/>
  <c r="I11" i="3"/>
  <c r="I5" i="3"/>
  <c r="F5" i="3"/>
  <c r="F6" i="3"/>
  <c r="F7" i="3"/>
  <c r="F9" i="3"/>
  <c r="F10" i="3"/>
  <c r="F11" i="3"/>
  <c r="F4" i="3"/>
  <c r="E5" i="3"/>
  <c r="E6" i="3"/>
  <c r="E7" i="3"/>
  <c r="E8" i="3"/>
  <c r="F8" i="3" s="1"/>
  <c r="I8" i="3" s="1"/>
  <c r="E9" i="3"/>
  <c r="E10" i="3"/>
  <c r="E11" i="3"/>
  <c r="E4" i="3"/>
  <c r="M9" i="2"/>
  <c r="L7" i="2"/>
  <c r="H6" i="2"/>
  <c r="H7" i="2"/>
  <c r="H8" i="2"/>
  <c r="H9" i="2"/>
  <c r="H10" i="2"/>
  <c r="H11" i="2"/>
  <c r="H5" i="2"/>
  <c r="I5" i="1"/>
  <c r="I6" i="1"/>
  <c r="I7" i="1"/>
  <c r="I8" i="1"/>
  <c r="I9" i="1"/>
  <c r="I10" i="1"/>
  <c r="I4" i="1"/>
  <c r="F5" i="2"/>
  <c r="F6" i="2"/>
  <c r="F7" i="2"/>
  <c r="F4" i="2"/>
  <c r="E5" i="2"/>
  <c r="E6" i="2"/>
  <c r="E7" i="2"/>
  <c r="E8" i="2"/>
  <c r="F8" i="2" s="1"/>
  <c r="E9" i="2"/>
  <c r="F9" i="2" s="1"/>
  <c r="E10" i="2"/>
  <c r="F10" i="2" s="1"/>
  <c r="E11" i="2"/>
  <c r="F11" i="2" s="1"/>
  <c r="E4" i="2"/>
  <c r="B11" i="2"/>
  <c r="B10" i="2"/>
  <c r="B9" i="2"/>
  <c r="B8" i="2"/>
  <c r="B7" i="2"/>
  <c r="B6" i="2"/>
  <c r="B5" i="2"/>
  <c r="B4" i="2"/>
  <c r="O5" i="1"/>
  <c r="J5" i="1"/>
  <c r="J12" i="1" s="1"/>
  <c r="J6" i="1"/>
  <c r="J7" i="1"/>
  <c r="J8" i="1"/>
  <c r="J9" i="1"/>
  <c r="J10" i="1"/>
  <c r="J4" i="1"/>
  <c r="F4" i="1"/>
  <c r="F5" i="1"/>
  <c r="F6" i="1"/>
  <c r="F7" i="1"/>
  <c r="F8" i="1"/>
  <c r="F9" i="1"/>
  <c r="F10" i="1"/>
  <c r="F3" i="1"/>
  <c r="B4" i="1"/>
  <c r="B5" i="1"/>
  <c r="B6" i="1"/>
  <c r="B7" i="1"/>
  <c r="B8" i="1"/>
  <c r="B9" i="1"/>
  <c r="B10" i="1"/>
  <c r="B3" i="1"/>
  <c r="G10" i="1"/>
  <c r="G9" i="1"/>
  <c r="G8" i="1"/>
  <c r="G7" i="1"/>
  <c r="G6" i="1"/>
  <c r="G5" i="1"/>
  <c r="G4" i="1"/>
  <c r="G3" i="1"/>
</calcChain>
</file>

<file path=xl/sharedStrings.xml><?xml version="1.0" encoding="utf-8"?>
<sst xmlns="http://schemas.openxmlformats.org/spreadsheetml/2006/main" count="46" uniqueCount="35">
  <si>
    <t>center</t>
  </si>
  <si>
    <t>radius</t>
  </si>
  <si>
    <t>diameter (cm) normal scale</t>
  </si>
  <si>
    <t>left side(mm)</t>
  </si>
  <si>
    <t>right side(mm)</t>
  </si>
  <si>
    <t>(wrong scale attached to setup)</t>
  </si>
  <si>
    <t>by niddle(mm)</t>
  </si>
  <si>
    <t>d</t>
  </si>
  <si>
    <t>D=620mm</t>
  </si>
  <si>
    <t>n</t>
  </si>
  <si>
    <t>m</t>
  </si>
  <si>
    <t>Xi_n^2</t>
  </si>
  <si>
    <t>s</t>
  </si>
  <si>
    <t>wavelenght calculation</t>
  </si>
  <si>
    <t>right side (mm)</t>
  </si>
  <si>
    <t>left side (mm)</t>
  </si>
  <si>
    <t>Diameter</t>
  </si>
  <si>
    <t>Green laser has been used</t>
  </si>
  <si>
    <t>D=598mm</t>
  </si>
  <si>
    <t>wavelength</t>
  </si>
  <si>
    <t>d=</t>
  </si>
  <si>
    <t>Red laser has been used</t>
  </si>
  <si>
    <t>Xi^2</t>
  </si>
  <si>
    <t>slope=</t>
  </si>
  <si>
    <t xml:space="preserve">before reflection </t>
  </si>
  <si>
    <t>(incident)</t>
  </si>
  <si>
    <t xml:space="preserve">After </t>
  </si>
  <si>
    <t>reflection</t>
  </si>
  <si>
    <t>(reflected)</t>
  </si>
  <si>
    <t>ratio</t>
  </si>
  <si>
    <t>mW</t>
  </si>
  <si>
    <t>(transmittence)</t>
  </si>
  <si>
    <t xml:space="preserve">reflectance </t>
  </si>
  <si>
    <t>Finesse</t>
  </si>
  <si>
    <t xml:space="preserve">FWHM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</si>
</sst>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B847A-47D0-4D93-AC0E-875BA4139DBB}">
  <dimension ref="A1:O14"/>
  <sheetViews>
    <sheetView workbookViewId="0">
      <selection activeCell="O5" sqref="O5"/>
    </sheetView>
  </sheetViews>
  <sheetFormatPr defaultRowHeight="15" x14ac:dyDescent="0.25"/>
  <cols>
    <col min="3" max="3" width="27" bestFit="1" customWidth="1"/>
    <col min="4" max="4" width="12.5703125" bestFit="1" customWidth="1"/>
    <col min="5" max="5" width="23.42578125" bestFit="1" customWidth="1"/>
    <col min="7" max="7" width="12.42578125" bestFit="1" customWidth="1"/>
  </cols>
  <sheetData>
    <row r="1" spans="1:15" x14ac:dyDescent="0.25">
      <c r="A1" t="s">
        <v>0</v>
      </c>
      <c r="C1" t="s">
        <v>5</v>
      </c>
      <c r="I1" t="s">
        <v>8</v>
      </c>
    </row>
    <row r="2" spans="1:15" x14ac:dyDescent="0.25">
      <c r="A2" t="s">
        <v>9</v>
      </c>
      <c r="B2" t="s">
        <v>10</v>
      </c>
      <c r="C2" t="s">
        <v>3</v>
      </c>
      <c r="D2" t="s">
        <v>4</v>
      </c>
      <c r="E2" t="s">
        <v>2</v>
      </c>
      <c r="F2" t="s">
        <v>1</v>
      </c>
      <c r="G2" t="s">
        <v>6</v>
      </c>
      <c r="I2" t="s">
        <v>11</v>
      </c>
      <c r="J2" t="s">
        <v>7</v>
      </c>
    </row>
    <row r="3" spans="1:15" x14ac:dyDescent="0.25">
      <c r="A3">
        <v>0</v>
      </c>
      <c r="B3">
        <f>1+A3</f>
        <v>1</v>
      </c>
      <c r="C3">
        <v>76.2</v>
      </c>
      <c r="D3">
        <v>53.33</v>
      </c>
      <c r="E3">
        <v>2.2999999999999998</v>
      </c>
      <c r="F3">
        <f>G3/2</f>
        <v>11.435000000000002</v>
      </c>
      <c r="G3">
        <f t="shared" ref="G3:G10" si="0">C3-D3</f>
        <v>22.870000000000005</v>
      </c>
    </row>
    <row r="4" spans="1:15" x14ac:dyDescent="0.25">
      <c r="A4">
        <v>1</v>
      </c>
      <c r="B4">
        <f t="shared" ref="B4:B10" si="1">1+A4</f>
        <v>2</v>
      </c>
      <c r="C4">
        <v>84.6</v>
      </c>
      <c r="D4">
        <v>49.7</v>
      </c>
      <c r="E4">
        <v>3.6</v>
      </c>
      <c r="F4">
        <f t="shared" ref="F4:F10" si="2">G4/2</f>
        <v>17.449999999999996</v>
      </c>
      <c r="G4">
        <f t="shared" si="0"/>
        <v>34.899999999999991</v>
      </c>
      <c r="I4">
        <f>F4^2 -11.435^2</f>
        <v>173.74327499999981</v>
      </c>
      <c r="J4">
        <f>A4*(620^2)*0.00065/I4</f>
        <v>1.4380988271344617</v>
      </c>
    </row>
    <row r="5" spans="1:15" x14ac:dyDescent="0.25">
      <c r="A5">
        <v>2</v>
      </c>
      <c r="B5">
        <f t="shared" si="1"/>
        <v>3</v>
      </c>
      <c r="C5">
        <v>89.8</v>
      </c>
      <c r="D5">
        <v>43.5</v>
      </c>
      <c r="E5">
        <v>4.5999999999999996</v>
      </c>
      <c r="F5">
        <f t="shared" si="2"/>
        <v>23.15</v>
      </c>
      <c r="G5">
        <f t="shared" si="0"/>
        <v>46.3</v>
      </c>
      <c r="I5">
        <f t="shared" ref="I5:I10" si="3">F5^2 -11.435^2</f>
        <v>405.16327499999989</v>
      </c>
      <c r="J5">
        <f t="shared" ref="J5:J10" si="4">A5*(620^2)*0.00065/I5</f>
        <v>1.2333793086256402</v>
      </c>
      <c r="L5">
        <v>198.065535714286</v>
      </c>
      <c r="O5">
        <f>(620^2)*0.000655/L5</f>
        <v>1.2712055082778317</v>
      </c>
    </row>
    <row r="6" spans="1:15" x14ac:dyDescent="0.25">
      <c r="A6">
        <v>3</v>
      </c>
      <c r="B6">
        <f t="shared" si="1"/>
        <v>4</v>
      </c>
      <c r="C6">
        <v>93.3</v>
      </c>
      <c r="D6">
        <v>40</v>
      </c>
      <c r="E6">
        <v>5.4</v>
      </c>
      <c r="F6">
        <f t="shared" si="2"/>
        <v>26.65</v>
      </c>
      <c r="G6">
        <f t="shared" si="0"/>
        <v>53.3</v>
      </c>
      <c r="I6">
        <f t="shared" si="3"/>
        <v>579.46327499999995</v>
      </c>
      <c r="J6">
        <f t="shared" si="4"/>
        <v>1.2935763703057799</v>
      </c>
      <c r="L6">
        <v>198.065535714286</v>
      </c>
    </row>
    <row r="7" spans="1:15" x14ac:dyDescent="0.25">
      <c r="A7">
        <v>4</v>
      </c>
      <c r="B7">
        <f t="shared" si="1"/>
        <v>5</v>
      </c>
      <c r="C7">
        <v>96.5</v>
      </c>
      <c r="D7">
        <v>36.9</v>
      </c>
      <c r="E7">
        <v>6</v>
      </c>
      <c r="F7">
        <f t="shared" si="2"/>
        <v>29.8</v>
      </c>
      <c r="G7">
        <f t="shared" si="0"/>
        <v>59.6</v>
      </c>
      <c r="I7">
        <f t="shared" si="3"/>
        <v>757.28077500000006</v>
      </c>
      <c r="J7">
        <f t="shared" si="4"/>
        <v>1.3197746899094327</v>
      </c>
    </row>
    <row r="8" spans="1:15" x14ac:dyDescent="0.25">
      <c r="A8">
        <v>5</v>
      </c>
      <c r="B8">
        <f t="shared" si="1"/>
        <v>6</v>
      </c>
      <c r="C8">
        <v>100.5</v>
      </c>
      <c r="D8">
        <v>33</v>
      </c>
      <c r="E8">
        <v>6.7</v>
      </c>
      <c r="F8">
        <f t="shared" si="2"/>
        <v>33.75</v>
      </c>
      <c r="G8">
        <f t="shared" si="0"/>
        <v>67.5</v>
      </c>
      <c r="I8">
        <f t="shared" si="3"/>
        <v>1008.303275</v>
      </c>
      <c r="J8">
        <f t="shared" si="4"/>
        <v>1.2390121414611095</v>
      </c>
    </row>
    <row r="9" spans="1:15" x14ac:dyDescent="0.25">
      <c r="A9">
        <v>6</v>
      </c>
      <c r="B9">
        <f t="shared" si="1"/>
        <v>7</v>
      </c>
      <c r="C9">
        <v>102.4</v>
      </c>
      <c r="D9">
        <v>30</v>
      </c>
      <c r="E9">
        <v>7.2</v>
      </c>
      <c r="F9">
        <f t="shared" si="2"/>
        <v>36.200000000000003</v>
      </c>
      <c r="G9">
        <f t="shared" si="0"/>
        <v>72.400000000000006</v>
      </c>
      <c r="I9">
        <f t="shared" si="3"/>
        <v>1179.6807750000003</v>
      </c>
      <c r="J9">
        <f t="shared" si="4"/>
        <v>1.2708183703341267</v>
      </c>
    </row>
    <row r="10" spans="1:15" x14ac:dyDescent="0.25">
      <c r="A10">
        <v>7</v>
      </c>
      <c r="B10">
        <f t="shared" si="1"/>
        <v>8</v>
      </c>
      <c r="C10">
        <v>105.1</v>
      </c>
      <c r="D10">
        <v>27.8</v>
      </c>
      <c r="E10">
        <v>7.7</v>
      </c>
      <c r="F10">
        <f t="shared" si="2"/>
        <v>38.65</v>
      </c>
      <c r="G10">
        <f t="shared" si="0"/>
        <v>77.3</v>
      </c>
      <c r="I10">
        <f t="shared" si="3"/>
        <v>1363.063275</v>
      </c>
      <c r="J10">
        <f t="shared" si="4"/>
        <v>1.2831539313536271</v>
      </c>
    </row>
    <row r="12" spans="1:15" x14ac:dyDescent="0.25">
      <c r="J12">
        <f>AVERAGE(J4:J10)</f>
        <v>1.2968305198748826</v>
      </c>
    </row>
    <row r="14" spans="1:15" x14ac:dyDescent="0.25">
      <c r="K14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BDCBF-4B2E-45CA-8E60-DBBFC67D67E1}">
  <dimension ref="A1:M11"/>
  <sheetViews>
    <sheetView workbookViewId="0">
      <selection activeCell="M9" sqref="M9"/>
    </sheetView>
  </sheetViews>
  <sheetFormatPr defaultRowHeight="15" x14ac:dyDescent="0.25"/>
  <cols>
    <col min="1" max="1" width="19.85546875" bestFit="1" customWidth="1"/>
    <col min="3" max="3" width="12.140625" bestFit="1" customWidth="1"/>
    <col min="4" max="4" width="13.140625" bestFit="1" customWidth="1"/>
    <col min="12" max="12" width="12" bestFit="1" customWidth="1"/>
  </cols>
  <sheetData>
    <row r="1" spans="1:13" x14ac:dyDescent="0.25">
      <c r="A1" t="s">
        <v>13</v>
      </c>
      <c r="B1" t="s">
        <v>17</v>
      </c>
      <c r="G1" t="s">
        <v>18</v>
      </c>
    </row>
    <row r="3" spans="1:13" x14ac:dyDescent="0.25">
      <c r="A3" t="s">
        <v>9</v>
      </c>
      <c r="B3" t="s">
        <v>10</v>
      </c>
      <c r="C3" t="s">
        <v>15</v>
      </c>
      <c r="D3" t="s">
        <v>14</v>
      </c>
      <c r="E3" t="s">
        <v>16</v>
      </c>
      <c r="F3" t="s">
        <v>1</v>
      </c>
    </row>
    <row r="4" spans="1:13" x14ac:dyDescent="0.25">
      <c r="A4">
        <v>0</v>
      </c>
      <c r="B4">
        <f>1+A4</f>
        <v>1</v>
      </c>
      <c r="C4">
        <v>70.7</v>
      </c>
      <c r="D4">
        <v>50.6</v>
      </c>
      <c r="E4">
        <f>(C4-D4)</f>
        <v>20.100000000000001</v>
      </c>
      <c r="F4">
        <f>E4/2</f>
        <v>10.050000000000001</v>
      </c>
    </row>
    <row r="5" spans="1:13" x14ac:dyDescent="0.25">
      <c r="A5">
        <v>1</v>
      </c>
      <c r="B5">
        <f t="shared" ref="B5:B11" si="0">1+A5</f>
        <v>2</v>
      </c>
      <c r="C5">
        <v>77.599999999999994</v>
      </c>
      <c r="D5">
        <v>45.5</v>
      </c>
      <c r="E5">
        <f t="shared" ref="E5:E11" si="1">(C5-D5)</f>
        <v>32.099999999999994</v>
      </c>
      <c r="F5">
        <f t="shared" ref="F5:F11" si="2">E5/2</f>
        <v>16.049999999999997</v>
      </c>
      <c r="H5">
        <f>F5^2-10.05^2</f>
        <v>156.59999999999991</v>
      </c>
      <c r="L5">
        <v>171.305178571429</v>
      </c>
    </row>
    <row r="6" spans="1:13" x14ac:dyDescent="0.25">
      <c r="A6">
        <v>2</v>
      </c>
      <c r="B6">
        <f t="shared" si="0"/>
        <v>3</v>
      </c>
      <c r="C6">
        <v>81.2</v>
      </c>
      <c r="D6">
        <v>40.6</v>
      </c>
      <c r="E6">
        <f t="shared" si="1"/>
        <v>40.6</v>
      </c>
      <c r="F6">
        <f t="shared" si="2"/>
        <v>20.3</v>
      </c>
      <c r="H6">
        <f>F6^2-10.05^2</f>
        <v>311.08750000000003</v>
      </c>
    </row>
    <row r="7" spans="1:13" x14ac:dyDescent="0.25">
      <c r="A7">
        <v>3</v>
      </c>
      <c r="B7">
        <f t="shared" si="0"/>
        <v>4</v>
      </c>
      <c r="C7">
        <v>85</v>
      </c>
      <c r="D7">
        <v>36.1</v>
      </c>
      <c r="E7">
        <f t="shared" si="1"/>
        <v>48.9</v>
      </c>
      <c r="F7">
        <f t="shared" si="2"/>
        <v>24.45</v>
      </c>
      <c r="H7">
        <f t="shared" ref="H7:H11" si="3">F7^2-10.05^2</f>
        <v>496.8</v>
      </c>
      <c r="L7">
        <f>L5*1.27/(598^2)</f>
        <v>6.0837568032157032E-4</v>
      </c>
      <c r="M7" t="s">
        <v>19</v>
      </c>
    </row>
    <row r="8" spans="1:13" x14ac:dyDescent="0.25">
      <c r="A8">
        <v>4</v>
      </c>
      <c r="B8">
        <f t="shared" si="0"/>
        <v>5</v>
      </c>
      <c r="C8">
        <v>88.4</v>
      </c>
      <c r="D8">
        <v>33.799999999999997</v>
      </c>
      <c r="E8">
        <f t="shared" si="1"/>
        <v>54.600000000000009</v>
      </c>
      <c r="F8">
        <f t="shared" si="2"/>
        <v>27.300000000000004</v>
      </c>
      <c r="H8">
        <f t="shared" si="3"/>
        <v>644.28750000000014</v>
      </c>
    </row>
    <row r="9" spans="1:13" x14ac:dyDescent="0.25">
      <c r="A9">
        <v>5</v>
      </c>
      <c r="B9">
        <f t="shared" si="0"/>
        <v>6</v>
      </c>
      <c r="C9">
        <v>91</v>
      </c>
      <c r="D9">
        <v>30.9</v>
      </c>
      <c r="E9">
        <f t="shared" si="1"/>
        <v>60.1</v>
      </c>
      <c r="F9">
        <f t="shared" si="2"/>
        <v>30.05</v>
      </c>
      <c r="H9">
        <f t="shared" si="3"/>
        <v>802</v>
      </c>
      <c r="L9" t="s">
        <v>20</v>
      </c>
      <c r="M9">
        <f>(598^2)*(0.000532)/L5</f>
        <v>1.1105637878931578</v>
      </c>
    </row>
    <row r="10" spans="1:13" x14ac:dyDescent="0.25">
      <c r="A10">
        <v>6</v>
      </c>
      <c r="B10">
        <f t="shared" si="0"/>
        <v>7</v>
      </c>
      <c r="C10">
        <v>94</v>
      </c>
      <c r="D10">
        <v>27.5</v>
      </c>
      <c r="E10">
        <f t="shared" si="1"/>
        <v>66.5</v>
      </c>
      <c r="F10">
        <f t="shared" si="2"/>
        <v>33.25</v>
      </c>
      <c r="H10">
        <f t="shared" si="3"/>
        <v>1004.56</v>
      </c>
    </row>
    <row r="11" spans="1:13" x14ac:dyDescent="0.25">
      <c r="A11">
        <v>7</v>
      </c>
      <c r="B11">
        <f t="shared" si="0"/>
        <v>8</v>
      </c>
      <c r="C11">
        <v>97</v>
      </c>
      <c r="D11">
        <v>25.1</v>
      </c>
      <c r="E11">
        <f t="shared" si="1"/>
        <v>71.900000000000006</v>
      </c>
      <c r="F11">
        <f t="shared" si="2"/>
        <v>35.950000000000003</v>
      </c>
      <c r="H11">
        <f t="shared" si="3"/>
        <v>1191.4000000000001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FC689-C38C-407E-ADD2-D04EF0F11412}">
  <dimension ref="A1:N11"/>
  <sheetViews>
    <sheetView workbookViewId="0">
      <selection activeCell="N8" sqref="N8"/>
    </sheetView>
  </sheetViews>
  <sheetFormatPr defaultRowHeight="15" x14ac:dyDescent="0.25"/>
  <cols>
    <col min="3" max="3" width="12.140625" bestFit="1" customWidth="1"/>
    <col min="4" max="4" width="13.140625" bestFit="1" customWidth="1"/>
    <col min="13" max="13" width="12" bestFit="1" customWidth="1"/>
    <col min="14" max="14" width="9.5703125" bestFit="1" customWidth="1"/>
  </cols>
  <sheetData>
    <row r="1" spans="1:14" x14ac:dyDescent="0.25">
      <c r="A1" t="s">
        <v>13</v>
      </c>
      <c r="B1" t="s">
        <v>21</v>
      </c>
      <c r="G1" t="s">
        <v>18</v>
      </c>
    </row>
    <row r="3" spans="1:14" x14ac:dyDescent="0.25">
      <c r="A3" t="s">
        <v>9</v>
      </c>
      <c r="B3" t="s">
        <v>10</v>
      </c>
      <c r="C3" t="s">
        <v>15</v>
      </c>
      <c r="D3" t="s">
        <v>14</v>
      </c>
      <c r="E3" t="s">
        <v>16</v>
      </c>
      <c r="F3" t="s">
        <v>1</v>
      </c>
      <c r="I3" t="s">
        <v>22</v>
      </c>
    </row>
    <row r="4" spans="1:14" x14ac:dyDescent="0.25">
      <c r="A4">
        <v>0</v>
      </c>
      <c r="B4">
        <v>1</v>
      </c>
      <c r="C4">
        <v>69</v>
      </c>
      <c r="D4">
        <v>49.1</v>
      </c>
      <c r="E4">
        <f>C4-D4</f>
        <v>19.899999999999999</v>
      </c>
      <c r="F4">
        <f>E4/2</f>
        <v>9.9499999999999993</v>
      </c>
    </row>
    <row r="5" spans="1:14" x14ac:dyDescent="0.25">
      <c r="A5">
        <v>1</v>
      </c>
      <c r="B5">
        <v>2</v>
      </c>
      <c r="C5">
        <v>75</v>
      </c>
      <c r="D5">
        <v>43</v>
      </c>
      <c r="E5">
        <f t="shared" ref="E5:E11" si="0">C5-D5</f>
        <v>32</v>
      </c>
      <c r="F5">
        <f t="shared" ref="F5:F11" si="1">E5/2</f>
        <v>16</v>
      </c>
      <c r="I5">
        <f>(F5^2)-9.95^2</f>
        <v>156.9975</v>
      </c>
      <c r="M5">
        <v>211.03446428571399</v>
      </c>
    </row>
    <row r="6" spans="1:14" x14ac:dyDescent="0.25">
      <c r="A6">
        <v>2</v>
      </c>
      <c r="B6">
        <v>3</v>
      </c>
      <c r="C6">
        <v>80.8</v>
      </c>
      <c r="D6">
        <v>38.9</v>
      </c>
      <c r="E6">
        <f t="shared" si="0"/>
        <v>41.9</v>
      </c>
      <c r="F6">
        <f t="shared" si="1"/>
        <v>20.95</v>
      </c>
      <c r="I6">
        <f t="shared" ref="I6:I11" si="2">(F6^2)-9.95^2</f>
        <v>339.9</v>
      </c>
    </row>
    <row r="7" spans="1:14" x14ac:dyDescent="0.25">
      <c r="A7">
        <v>3</v>
      </c>
      <c r="B7">
        <v>4</v>
      </c>
      <c r="C7">
        <v>85.6</v>
      </c>
      <c r="D7">
        <v>34.5</v>
      </c>
      <c r="E7">
        <f t="shared" si="0"/>
        <v>51.099999999999994</v>
      </c>
      <c r="F7">
        <f t="shared" si="1"/>
        <v>25.549999999999997</v>
      </c>
      <c r="I7">
        <f t="shared" si="2"/>
        <v>553.79999999999995</v>
      </c>
    </row>
    <row r="8" spans="1:14" x14ac:dyDescent="0.25">
      <c r="A8">
        <v>4</v>
      </c>
      <c r="B8">
        <v>5</v>
      </c>
      <c r="C8">
        <v>89.8</v>
      </c>
      <c r="D8">
        <v>29.9</v>
      </c>
      <c r="E8">
        <f t="shared" si="0"/>
        <v>59.9</v>
      </c>
      <c r="F8">
        <f t="shared" si="1"/>
        <v>29.95</v>
      </c>
      <c r="I8">
        <f t="shared" si="2"/>
        <v>798</v>
      </c>
      <c r="M8" t="s">
        <v>23</v>
      </c>
      <c r="N8">
        <f>1.110564*M5/(598^2)</f>
        <v>6.5538215119237951E-4</v>
      </c>
    </row>
    <row r="9" spans="1:14" x14ac:dyDescent="0.25">
      <c r="A9">
        <v>5</v>
      </c>
      <c r="B9">
        <v>6</v>
      </c>
      <c r="C9">
        <v>92.4</v>
      </c>
      <c r="D9">
        <v>26.7</v>
      </c>
      <c r="E9">
        <f t="shared" si="0"/>
        <v>65.7</v>
      </c>
      <c r="F9">
        <f t="shared" si="1"/>
        <v>32.85</v>
      </c>
      <c r="I9">
        <f t="shared" si="2"/>
        <v>980.12000000000023</v>
      </c>
    </row>
    <row r="10" spans="1:14" x14ac:dyDescent="0.25">
      <c r="A10">
        <v>6</v>
      </c>
      <c r="B10">
        <v>7</v>
      </c>
      <c r="C10">
        <v>96.9</v>
      </c>
      <c r="D10">
        <v>24.3</v>
      </c>
      <c r="E10">
        <f t="shared" si="0"/>
        <v>72.600000000000009</v>
      </c>
      <c r="F10">
        <f t="shared" si="1"/>
        <v>36.300000000000004</v>
      </c>
      <c r="I10">
        <f t="shared" si="2"/>
        <v>1218.6875000000002</v>
      </c>
    </row>
    <row r="11" spans="1:14" x14ac:dyDescent="0.25">
      <c r="A11">
        <v>7</v>
      </c>
      <c r="B11">
        <v>8</v>
      </c>
      <c r="C11">
        <v>99.1</v>
      </c>
      <c r="D11">
        <v>21.7</v>
      </c>
      <c r="E11">
        <f t="shared" si="0"/>
        <v>77.399999999999991</v>
      </c>
      <c r="F11">
        <f t="shared" si="1"/>
        <v>38.699999999999996</v>
      </c>
      <c r="I11">
        <f t="shared" si="2"/>
        <v>1398.6874999999995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7FDC8-1F57-4452-9B83-BAF11DAF22D2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0CF3A-3038-444F-8F8F-C78504BD79C4}">
  <dimension ref="B2:I14"/>
  <sheetViews>
    <sheetView tabSelected="1" workbookViewId="0">
      <selection activeCell="C15" sqref="C15"/>
    </sheetView>
  </sheetViews>
  <sheetFormatPr defaultRowHeight="15" x14ac:dyDescent="0.25"/>
  <sheetData>
    <row r="2" spans="2:9" x14ac:dyDescent="0.25">
      <c r="D2" t="s">
        <v>30</v>
      </c>
    </row>
    <row r="4" spans="2:9" x14ac:dyDescent="0.25">
      <c r="B4" t="s">
        <v>24</v>
      </c>
      <c r="D4">
        <v>50.9</v>
      </c>
    </row>
    <row r="5" spans="2:9" x14ac:dyDescent="0.25">
      <c r="B5" t="s">
        <v>25</v>
      </c>
      <c r="G5" t="s">
        <v>29</v>
      </c>
      <c r="H5">
        <f xml:space="preserve"> D8/D4</f>
        <v>0.10019646365422397</v>
      </c>
      <c r="I5" t="s">
        <v>31</v>
      </c>
    </row>
    <row r="8" spans="2:9" x14ac:dyDescent="0.25">
      <c r="B8" t="s">
        <v>26</v>
      </c>
      <c r="C8" t="s">
        <v>27</v>
      </c>
      <c r="D8">
        <v>5.0999999999999996</v>
      </c>
      <c r="G8" t="s">
        <v>32</v>
      </c>
      <c r="H8">
        <f xml:space="preserve"> 1-H5</f>
        <v>0.89980353634577603</v>
      </c>
    </row>
    <row r="9" spans="2:9" x14ac:dyDescent="0.25">
      <c r="B9" t="s">
        <v>28</v>
      </c>
    </row>
    <row r="12" spans="2:9" x14ac:dyDescent="0.25">
      <c r="B12" t="s">
        <v>33</v>
      </c>
      <c r="C12">
        <f xml:space="preserve"> PI() *(H8)^0.5/H5</f>
        <v>29.742079268214464</v>
      </c>
    </row>
    <row r="14" spans="2:9" x14ac:dyDescent="0.25">
      <c r="B14" t="s">
        <v>34</v>
      </c>
      <c r="C14">
        <f xml:space="preserve"> 2*H5/(H8)^0.5</f>
        <v>0.21125575150673692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Sheet5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Abhinandan Yadav</dc:creator>
  <cp:lastModifiedBy>Abhi Mondal</cp:lastModifiedBy>
  <dcterms:created xsi:type="dcterms:W3CDTF">2026-01-22T09:28:42Z</dcterms:created>
  <dcterms:modified xsi:type="dcterms:W3CDTF">2026-02-02T14:33:25Z</dcterms:modified>
</cp:coreProperties>
</file>