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SER\Semester\Sem8\PH4201\Lab\SLM\data\"/>
    </mc:Choice>
  </mc:AlternateContent>
  <xr:revisionPtr revIDLastSave="0" documentId="13_ncr:1_{3F26B425-0563-453F-8254-8153544D403F}" xr6:coauthVersionLast="47" xr6:coauthVersionMax="47" xr10:uidLastSave="{00000000-0000-0000-0000-000000000000}"/>
  <bookViews>
    <workbookView xWindow="-120" yWindow="-120" windowWidth="20730" windowHeight="11760" activeTab="2" xr2:uid="{34D1D7EE-071F-4E41-B477-0DCF68C62A1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3" l="1"/>
  <c r="Q3" i="3" s="1"/>
  <c r="P5" i="3"/>
  <c r="S5" i="3" s="1"/>
  <c r="P7" i="3"/>
  <c r="P9" i="3"/>
  <c r="S9" i="3" s="1"/>
  <c r="Q7" i="3"/>
  <c r="O9" i="3"/>
  <c r="O7" i="3"/>
  <c r="O5" i="3"/>
  <c r="O3" i="3"/>
  <c r="H10" i="3"/>
  <c r="J10" i="3" s="1"/>
  <c r="H9" i="3"/>
  <c r="J9" i="3" s="1"/>
  <c r="H8" i="3"/>
  <c r="J8" i="3" s="1"/>
  <c r="H7" i="3"/>
  <c r="J7" i="3" s="1"/>
  <c r="H6" i="3"/>
  <c r="J6" i="3" s="1"/>
  <c r="H5" i="3"/>
  <c r="J5" i="3" s="1"/>
  <c r="H4" i="3"/>
  <c r="J4" i="3" s="1"/>
  <c r="H3" i="3"/>
  <c r="J3" i="3" s="1"/>
  <c r="Q3" i="2"/>
  <c r="L3" i="2"/>
  <c r="Q4" i="2"/>
  <c r="Q5" i="2"/>
  <c r="Q6" i="2"/>
  <c r="Q7" i="2"/>
  <c r="Q8" i="2"/>
  <c r="Q9" i="2"/>
  <c r="Q10" i="2"/>
  <c r="P3" i="2"/>
  <c r="O3" i="2"/>
  <c r="I4" i="2"/>
  <c r="H5" i="2"/>
  <c r="I5" i="2" s="1"/>
  <c r="H6" i="2"/>
  <c r="J6" i="2" s="1"/>
  <c r="H7" i="2"/>
  <c r="I7" i="2" s="1"/>
  <c r="H8" i="2"/>
  <c r="I8" i="2" s="1"/>
  <c r="H9" i="2"/>
  <c r="I9" i="2" s="1"/>
  <c r="H10" i="2"/>
  <c r="I10" i="2" s="1"/>
  <c r="J4" i="2"/>
  <c r="J5" i="2"/>
  <c r="J8" i="2"/>
  <c r="I6" i="2"/>
  <c r="H4" i="2"/>
  <c r="P19" i="1"/>
  <c r="O19" i="1"/>
  <c r="N19" i="1"/>
  <c r="K19" i="1"/>
  <c r="J19" i="1"/>
  <c r="I19" i="1"/>
  <c r="H3" i="2"/>
  <c r="J3" i="2" s="1"/>
  <c r="S3" i="3" l="1"/>
  <c r="Q9" i="3"/>
  <c r="S7" i="3"/>
  <c r="Q5" i="3"/>
  <c r="I3" i="3"/>
  <c r="I5" i="3"/>
  <c r="I8" i="3"/>
  <c r="I6" i="3"/>
  <c r="I9" i="3"/>
  <c r="I4" i="3"/>
  <c r="I7" i="3"/>
  <c r="I10" i="3"/>
  <c r="J9" i="2"/>
  <c r="J10" i="2"/>
  <c r="J7" i="2"/>
  <c r="I3" i="2"/>
  <c r="L3" i="3" l="1"/>
</calcChain>
</file>

<file path=xl/sharedStrings.xml><?xml version="1.0" encoding="utf-8"?>
<sst xmlns="http://schemas.openxmlformats.org/spreadsheetml/2006/main" count="105" uniqueCount="40">
  <si>
    <t>Polarizer 1</t>
  </si>
  <si>
    <t xml:space="preserve">Polarizer2 </t>
  </si>
  <si>
    <t xml:space="preserve">Greyscale  </t>
  </si>
  <si>
    <t>P</t>
  </si>
  <si>
    <t xml:space="preserve">P  </t>
  </si>
  <si>
    <t>Intensity (microWatt)</t>
  </si>
  <si>
    <t>H</t>
  </si>
  <si>
    <t xml:space="preserve">P </t>
  </si>
  <si>
    <t>M</t>
  </si>
  <si>
    <t>V</t>
  </si>
  <si>
    <t xml:space="preserve">H </t>
  </si>
  <si>
    <t xml:space="preserve">Input </t>
  </si>
  <si>
    <t xml:space="preserve">Measured currents </t>
  </si>
  <si>
    <t xml:space="preserve">IH </t>
  </si>
  <si>
    <t>IV</t>
  </si>
  <si>
    <t>IP</t>
  </si>
  <si>
    <t>IM</t>
  </si>
  <si>
    <t>Stokes vector components</t>
  </si>
  <si>
    <t>IH-IV/I</t>
  </si>
  <si>
    <t>IP-IM/I</t>
  </si>
  <si>
    <t>IH+IV = I</t>
  </si>
  <si>
    <t xml:space="preserve">Linear Retardance </t>
  </si>
  <si>
    <t>Optical Rotation</t>
  </si>
  <si>
    <t>P1 (H polarization)</t>
  </si>
  <si>
    <t>308 Degree</t>
  </si>
  <si>
    <t xml:space="preserve">P2(V polarization) </t>
  </si>
  <si>
    <t xml:space="preserve">206 Degree </t>
  </si>
  <si>
    <t xml:space="preserve">P2(H polarization) </t>
  </si>
  <si>
    <t>116 Degree</t>
  </si>
  <si>
    <t>P1</t>
  </si>
  <si>
    <t>IH</t>
  </si>
  <si>
    <t>P2</t>
  </si>
  <si>
    <t>date -  10.02</t>
  </si>
  <si>
    <t xml:space="preserve">grayscale </t>
  </si>
  <si>
    <t>(micro A)</t>
  </si>
  <si>
    <t>X1</t>
  </si>
  <si>
    <t>Y1</t>
  </si>
  <si>
    <t>delta</t>
  </si>
  <si>
    <t xml:space="preserve">Data set = 02 </t>
  </si>
  <si>
    <t>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</si>
</sst>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D395E-265D-4E56-9E24-9F2B15481F29}">
  <dimension ref="A1:P24"/>
  <sheetViews>
    <sheetView workbookViewId="0">
      <selection activeCell="H16" sqref="H1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5</v>
      </c>
    </row>
    <row r="2" spans="1:10" x14ac:dyDescent="0.25">
      <c r="A2" t="s">
        <v>3</v>
      </c>
      <c r="B2" t="s">
        <v>4</v>
      </c>
      <c r="C2">
        <v>0</v>
      </c>
      <c r="D2">
        <v>188.7</v>
      </c>
    </row>
    <row r="3" spans="1:10" x14ac:dyDescent="0.25">
      <c r="A3" t="s">
        <v>3</v>
      </c>
      <c r="B3" t="s">
        <v>6</v>
      </c>
      <c r="C3">
        <v>0</v>
      </c>
      <c r="D3">
        <v>112.7</v>
      </c>
    </row>
    <row r="4" spans="1:10" x14ac:dyDescent="0.25">
      <c r="A4" t="s">
        <v>7</v>
      </c>
      <c r="B4" t="s">
        <v>8</v>
      </c>
      <c r="C4">
        <v>0</v>
      </c>
      <c r="D4">
        <v>2.5</v>
      </c>
    </row>
    <row r="5" spans="1:10" x14ac:dyDescent="0.25">
      <c r="A5" t="s">
        <v>3</v>
      </c>
      <c r="B5" t="s">
        <v>9</v>
      </c>
      <c r="C5">
        <v>0</v>
      </c>
      <c r="D5">
        <v>114.7</v>
      </c>
    </row>
    <row r="6" spans="1:10" x14ac:dyDescent="0.25">
      <c r="A6" t="s">
        <v>6</v>
      </c>
      <c r="B6" t="s">
        <v>6</v>
      </c>
      <c r="C6">
        <v>0</v>
      </c>
      <c r="D6">
        <v>5.6</v>
      </c>
      <c r="H6" t="s">
        <v>23</v>
      </c>
      <c r="J6" t="s">
        <v>24</v>
      </c>
    </row>
    <row r="7" spans="1:10" x14ac:dyDescent="0.25">
      <c r="A7" t="s">
        <v>10</v>
      </c>
      <c r="B7" t="s">
        <v>9</v>
      </c>
      <c r="C7">
        <v>0</v>
      </c>
      <c r="D7">
        <v>0.1</v>
      </c>
    </row>
    <row r="8" spans="1:10" x14ac:dyDescent="0.25">
      <c r="A8" t="s">
        <v>6</v>
      </c>
      <c r="B8" t="s">
        <v>4</v>
      </c>
      <c r="C8">
        <v>0</v>
      </c>
      <c r="D8">
        <v>3.1</v>
      </c>
      <c r="H8" t="s">
        <v>25</v>
      </c>
      <c r="J8" t="s">
        <v>26</v>
      </c>
    </row>
    <row r="9" spans="1:10" x14ac:dyDescent="0.25">
      <c r="A9" t="s">
        <v>6</v>
      </c>
      <c r="B9" t="s">
        <v>8</v>
      </c>
      <c r="C9">
        <v>0</v>
      </c>
      <c r="D9">
        <v>2.7</v>
      </c>
    </row>
    <row r="10" spans="1:10" x14ac:dyDescent="0.25">
      <c r="H10" t="s">
        <v>27</v>
      </c>
      <c r="J10" t="s">
        <v>28</v>
      </c>
    </row>
    <row r="15" spans="1:10" x14ac:dyDescent="0.25">
      <c r="H15" t="s">
        <v>32</v>
      </c>
    </row>
    <row r="17" spans="1:16" x14ac:dyDescent="0.25">
      <c r="A17" t="s">
        <v>3</v>
      </c>
      <c r="B17" t="s">
        <v>4</v>
      </c>
      <c r="C17">
        <v>64</v>
      </c>
      <c r="H17" t="s">
        <v>29</v>
      </c>
      <c r="M17" t="s">
        <v>31</v>
      </c>
    </row>
    <row r="18" spans="1:16" x14ac:dyDescent="0.25">
      <c r="A18" t="s">
        <v>3</v>
      </c>
      <c r="B18" t="s">
        <v>6</v>
      </c>
      <c r="C18">
        <v>64</v>
      </c>
      <c r="H18" t="s">
        <v>30</v>
      </c>
      <c r="I18" t="s">
        <v>14</v>
      </c>
      <c r="J18" t="s">
        <v>15</v>
      </c>
      <c r="K18" t="s">
        <v>16</v>
      </c>
      <c r="M18" t="s">
        <v>30</v>
      </c>
      <c r="N18" t="s">
        <v>14</v>
      </c>
      <c r="O18" t="s">
        <v>15</v>
      </c>
      <c r="P18" t="s">
        <v>16</v>
      </c>
    </row>
    <row r="19" spans="1:16" x14ac:dyDescent="0.25">
      <c r="A19" t="s">
        <v>7</v>
      </c>
      <c r="B19" t="s">
        <v>8</v>
      </c>
      <c r="C19">
        <v>64</v>
      </c>
      <c r="H19">
        <v>308</v>
      </c>
      <c r="I19">
        <f xml:space="preserve"> H19+90-360</f>
        <v>38</v>
      </c>
      <c r="J19">
        <f>H19+45</f>
        <v>353</v>
      </c>
      <c r="K19">
        <f xml:space="preserve"> H19 -45</f>
        <v>263</v>
      </c>
      <c r="M19">
        <v>116</v>
      </c>
      <c r="N19">
        <f xml:space="preserve"> M19 +90</f>
        <v>206</v>
      </c>
      <c r="O19">
        <f xml:space="preserve"> M19+45</f>
        <v>161</v>
      </c>
      <c r="P19">
        <f>M19-45</f>
        <v>71</v>
      </c>
    </row>
    <row r="20" spans="1:16" x14ac:dyDescent="0.25">
      <c r="A20" t="s">
        <v>3</v>
      </c>
      <c r="B20" t="s">
        <v>9</v>
      </c>
      <c r="C20">
        <v>64</v>
      </c>
    </row>
    <row r="21" spans="1:16" x14ac:dyDescent="0.25">
      <c r="A21" t="s">
        <v>6</v>
      </c>
      <c r="B21" t="s">
        <v>6</v>
      </c>
      <c r="C21">
        <v>64</v>
      </c>
    </row>
    <row r="22" spans="1:16" x14ac:dyDescent="0.25">
      <c r="A22" t="s">
        <v>10</v>
      </c>
      <c r="B22" t="s">
        <v>9</v>
      </c>
      <c r="C22">
        <v>64</v>
      </c>
    </row>
    <row r="23" spans="1:16" x14ac:dyDescent="0.25">
      <c r="A23" t="s">
        <v>6</v>
      </c>
      <c r="B23" t="s">
        <v>4</v>
      </c>
      <c r="C23">
        <v>64</v>
      </c>
    </row>
    <row r="24" spans="1:16" x14ac:dyDescent="0.25">
      <c r="A24" t="s">
        <v>6</v>
      </c>
      <c r="B24" t="s">
        <v>8</v>
      </c>
      <c r="C24">
        <v>64</v>
      </c>
      <c r="D24">
        <v>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7015E-7754-4427-ABD0-B400DE38FCFE}">
  <dimension ref="A1:Q10"/>
  <sheetViews>
    <sheetView workbookViewId="0">
      <selection activeCell="F19" sqref="F19"/>
    </sheetView>
  </sheetViews>
  <sheetFormatPr defaultRowHeight="15" x14ac:dyDescent="0.25"/>
  <cols>
    <col min="1" max="1" width="10" bestFit="1" customWidth="1"/>
    <col min="2" max="2" width="10" customWidth="1"/>
    <col min="17" max="17" width="15" customWidth="1"/>
  </cols>
  <sheetData>
    <row r="1" spans="1:17" x14ac:dyDescent="0.25">
      <c r="A1" t="s">
        <v>11</v>
      </c>
      <c r="B1" t="s">
        <v>33</v>
      </c>
      <c r="C1" t="s">
        <v>12</v>
      </c>
      <c r="D1" t="s">
        <v>34</v>
      </c>
      <c r="H1" t="s">
        <v>17</v>
      </c>
      <c r="L1" t="s">
        <v>21</v>
      </c>
      <c r="M1" t="s">
        <v>22</v>
      </c>
      <c r="O1" t="s">
        <v>35</v>
      </c>
      <c r="P1" t="s">
        <v>36</v>
      </c>
      <c r="Q1" t="s">
        <v>37</v>
      </c>
    </row>
    <row r="2" spans="1:17" x14ac:dyDescent="0.25">
      <c r="C2" t="s">
        <v>13</v>
      </c>
      <c r="D2" t="s">
        <v>14</v>
      </c>
      <c r="E2" t="s">
        <v>15</v>
      </c>
      <c r="F2" t="s">
        <v>16</v>
      </c>
      <c r="H2" t="s">
        <v>20</v>
      </c>
      <c r="I2" t="s">
        <v>18</v>
      </c>
      <c r="J2" t="s">
        <v>19</v>
      </c>
    </row>
    <row r="3" spans="1:17" x14ac:dyDescent="0.25">
      <c r="A3" t="s">
        <v>6</v>
      </c>
      <c r="B3">
        <v>0</v>
      </c>
      <c r="C3">
        <v>0.6</v>
      </c>
      <c r="D3">
        <v>0</v>
      </c>
      <c r="E3">
        <v>0.4</v>
      </c>
      <c r="F3">
        <v>0.3</v>
      </c>
      <c r="H3">
        <f>C3+D3</f>
        <v>0.6</v>
      </c>
      <c r="I3">
        <f>(C3-D3)/H3</f>
        <v>1</v>
      </c>
      <c r="J3">
        <f>( E3-F3)/H3</f>
        <v>0.16666666666666674</v>
      </c>
      <c r="L3" t="e">
        <f xml:space="preserve"> ACOS(SQRT((I3+J4)^2 + (I4-J3)^2)-1)</f>
        <v>#NUM!</v>
      </c>
      <c r="O3">
        <f>(I3+J4)</f>
        <v>2.046153846153846</v>
      </c>
      <c r="P3">
        <f>(J3-I4)</f>
        <v>0.39743589743589752</v>
      </c>
      <c r="Q3" t="e">
        <f>ACOS(SQRT(O3^2+P3^2)-1)</f>
        <v>#NUM!</v>
      </c>
    </row>
    <row r="4" spans="1:17" x14ac:dyDescent="0.25">
      <c r="A4" t="s">
        <v>3</v>
      </c>
      <c r="B4">
        <v>0</v>
      </c>
      <c r="C4">
        <v>2.5</v>
      </c>
      <c r="D4">
        <v>4</v>
      </c>
      <c r="E4">
        <v>7</v>
      </c>
      <c r="F4">
        <v>0.2</v>
      </c>
      <c r="H4">
        <f>C4+D4</f>
        <v>6.5</v>
      </c>
      <c r="I4">
        <f>(C4-D4)/H4</f>
        <v>-0.23076923076923078</v>
      </c>
      <c r="J4">
        <f t="shared" ref="J4:J10" si="0">( E4-F4)/H4</f>
        <v>1.0461538461538462</v>
      </c>
      <c r="Q4">
        <f t="shared" ref="Q4:Q10" si="1">ACOS(SQRT(O4^2+P4^2)-1)</f>
        <v>3.1415926535897931</v>
      </c>
    </row>
    <row r="5" spans="1:17" x14ac:dyDescent="0.25">
      <c r="A5" t="s">
        <v>6</v>
      </c>
      <c r="B5">
        <v>64</v>
      </c>
      <c r="C5">
        <v>0.3</v>
      </c>
      <c r="D5">
        <v>0</v>
      </c>
      <c r="E5">
        <v>0.2</v>
      </c>
      <c r="F5">
        <v>0.1</v>
      </c>
      <c r="H5">
        <f t="shared" ref="H5:H10" si="2">C5+D5</f>
        <v>0.3</v>
      </c>
      <c r="I5">
        <f t="shared" ref="I5:I10" si="3">(C5-D5)/H5</f>
        <v>1</v>
      </c>
      <c r="J5">
        <f t="shared" si="0"/>
        <v>0.33333333333333337</v>
      </c>
      <c r="Q5">
        <f t="shared" si="1"/>
        <v>3.1415926535897931</v>
      </c>
    </row>
    <row r="6" spans="1:17" x14ac:dyDescent="0.25">
      <c r="A6" t="s">
        <v>3</v>
      </c>
      <c r="B6">
        <v>64</v>
      </c>
      <c r="C6">
        <v>2.4</v>
      </c>
      <c r="D6">
        <v>4.5</v>
      </c>
      <c r="E6">
        <v>7</v>
      </c>
      <c r="F6">
        <v>0.4</v>
      </c>
      <c r="H6">
        <f t="shared" si="2"/>
        <v>6.9</v>
      </c>
      <c r="I6">
        <f t="shared" si="3"/>
        <v>-0.30434782608695654</v>
      </c>
      <c r="J6">
        <f t="shared" si="0"/>
        <v>0.9565217391304347</v>
      </c>
      <c r="Q6">
        <f t="shared" si="1"/>
        <v>3.1415926535897931</v>
      </c>
    </row>
    <row r="7" spans="1:17" x14ac:dyDescent="0.25">
      <c r="A7" t="s">
        <v>6</v>
      </c>
      <c r="B7">
        <v>128</v>
      </c>
      <c r="C7">
        <v>0.3</v>
      </c>
      <c r="D7">
        <v>0.1</v>
      </c>
      <c r="E7">
        <v>0.3</v>
      </c>
      <c r="F7">
        <v>0.1</v>
      </c>
      <c r="H7">
        <f t="shared" si="2"/>
        <v>0.4</v>
      </c>
      <c r="I7">
        <f t="shared" si="3"/>
        <v>0.49999999999999994</v>
      </c>
      <c r="J7">
        <f t="shared" si="0"/>
        <v>0.49999999999999994</v>
      </c>
      <c r="Q7">
        <f t="shared" si="1"/>
        <v>3.1415926535897931</v>
      </c>
    </row>
    <row r="8" spans="1:17" x14ac:dyDescent="0.25">
      <c r="A8" t="s">
        <v>3</v>
      </c>
      <c r="B8">
        <v>128</v>
      </c>
      <c r="C8">
        <v>1.7</v>
      </c>
      <c r="D8">
        <v>5.2</v>
      </c>
      <c r="E8">
        <v>6.2</v>
      </c>
      <c r="F8">
        <v>1.2</v>
      </c>
      <c r="H8">
        <f t="shared" si="2"/>
        <v>6.9</v>
      </c>
      <c r="I8">
        <f t="shared" si="3"/>
        <v>-0.50724637681159412</v>
      </c>
      <c r="J8">
        <f t="shared" si="0"/>
        <v>0.72463768115942029</v>
      </c>
      <c r="Q8">
        <f t="shared" si="1"/>
        <v>3.1415926535897931</v>
      </c>
    </row>
    <row r="9" spans="1:17" x14ac:dyDescent="0.25">
      <c r="A9" t="s">
        <v>6</v>
      </c>
      <c r="B9">
        <v>255</v>
      </c>
      <c r="C9">
        <v>0.1</v>
      </c>
      <c r="D9">
        <v>0.3</v>
      </c>
      <c r="E9">
        <v>0.3</v>
      </c>
      <c r="F9">
        <v>0.1</v>
      </c>
      <c r="H9">
        <f t="shared" si="2"/>
        <v>0.4</v>
      </c>
      <c r="I9">
        <f t="shared" si="3"/>
        <v>-0.49999999999999994</v>
      </c>
      <c r="J9">
        <f t="shared" si="0"/>
        <v>0.49999999999999994</v>
      </c>
      <c r="Q9">
        <f t="shared" si="1"/>
        <v>3.1415926535897931</v>
      </c>
    </row>
    <row r="10" spans="1:17" x14ac:dyDescent="0.25">
      <c r="A10" t="s">
        <v>3</v>
      </c>
      <c r="B10">
        <v>255</v>
      </c>
      <c r="C10">
        <v>1.4</v>
      </c>
      <c r="D10">
        <v>5.7</v>
      </c>
      <c r="E10">
        <v>1.1000000000000001</v>
      </c>
      <c r="F10">
        <v>6.2</v>
      </c>
      <c r="H10">
        <f t="shared" si="2"/>
        <v>7.1</v>
      </c>
      <c r="I10">
        <f t="shared" si="3"/>
        <v>-0.60563380281690149</v>
      </c>
      <c r="J10">
        <f t="shared" si="0"/>
        <v>-0.71830985915492951</v>
      </c>
      <c r="Q10">
        <f t="shared" si="1"/>
        <v>3.1415926535897931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D3B6D-D4E3-445F-A777-E087FF896FF8}">
  <dimension ref="A1:S14"/>
  <sheetViews>
    <sheetView tabSelected="1" workbookViewId="0">
      <selection activeCell="O2" sqref="O2:S2"/>
    </sheetView>
  </sheetViews>
  <sheetFormatPr defaultRowHeight="15" x14ac:dyDescent="0.25"/>
  <sheetData>
    <row r="1" spans="1:19" x14ac:dyDescent="0.25">
      <c r="A1" t="s">
        <v>11</v>
      </c>
      <c r="B1" t="s">
        <v>33</v>
      </c>
      <c r="C1" t="s">
        <v>12</v>
      </c>
      <c r="D1" t="s">
        <v>34</v>
      </c>
      <c r="H1" t="s">
        <v>17</v>
      </c>
      <c r="L1" t="s">
        <v>21</v>
      </c>
      <c r="M1" t="s">
        <v>22</v>
      </c>
    </row>
    <row r="2" spans="1:19" x14ac:dyDescent="0.25">
      <c r="C2" t="s">
        <v>13</v>
      </c>
      <c r="D2" t="s">
        <v>14</v>
      </c>
      <c r="E2" t="s">
        <v>15</v>
      </c>
      <c r="F2" t="s">
        <v>16</v>
      </c>
      <c r="H2" t="s">
        <v>20</v>
      </c>
      <c r="I2" t="s">
        <v>18</v>
      </c>
      <c r="J2" t="s">
        <v>19</v>
      </c>
      <c r="O2" t="s">
        <v>35</v>
      </c>
      <c r="P2" t="s">
        <v>36</v>
      </c>
      <c r="Q2" t="s">
        <v>37</v>
      </c>
      <c r="S2" t="s">
        <v>39</v>
      </c>
    </row>
    <row r="3" spans="1:19" x14ac:dyDescent="0.25">
      <c r="A3" t="s">
        <v>6</v>
      </c>
      <c r="B3">
        <v>0</v>
      </c>
      <c r="C3">
        <v>9.5</v>
      </c>
      <c r="D3">
        <v>0.2</v>
      </c>
      <c r="E3">
        <v>6.5</v>
      </c>
      <c r="F3">
        <v>4.0999999999999996</v>
      </c>
      <c r="H3">
        <f>C3+D3</f>
        <v>9.6999999999999993</v>
      </c>
      <c r="I3">
        <f>(C3-D3)/H3</f>
        <v>0.95876288659793829</v>
      </c>
      <c r="J3">
        <f>( E3-F3)/H3</f>
        <v>0.2474226804123712</v>
      </c>
      <c r="L3">
        <f xml:space="preserve"> ACOS(SQRT((I3+J4)^2 + (I4-J3)^2)-1)</f>
        <v>0.26780186435950482</v>
      </c>
      <c r="O3">
        <f>(I3+J4)</f>
        <v>1.9080684421534939</v>
      </c>
      <c r="P3">
        <f>(J3-I4)</f>
        <v>0.46686712485681559</v>
      </c>
      <c r="Q3">
        <f>ACOS(SQRT(O3^2+P3^2)-1)</f>
        <v>0.26780186435950482</v>
      </c>
      <c r="S3">
        <f>0.5*(ATAN(P3/O3))</f>
        <v>0.11998291741478979</v>
      </c>
    </row>
    <row r="4" spans="1:19" x14ac:dyDescent="0.25">
      <c r="A4" t="s">
        <v>3</v>
      </c>
      <c r="B4">
        <v>0</v>
      </c>
      <c r="C4">
        <v>56.2</v>
      </c>
      <c r="D4">
        <v>87.8</v>
      </c>
      <c r="E4">
        <v>139.80000000000001</v>
      </c>
      <c r="F4">
        <v>3.1</v>
      </c>
      <c r="H4">
        <f>C4+D4</f>
        <v>144</v>
      </c>
      <c r="I4">
        <f>(C4-D4)/H4</f>
        <v>-0.21944444444444441</v>
      </c>
      <c r="J4">
        <f t="shared" ref="J4:J10" si="0">( E4-F4)/H4</f>
        <v>0.94930555555555562</v>
      </c>
    </row>
    <row r="5" spans="1:19" x14ac:dyDescent="0.25">
      <c r="A5" t="s">
        <v>6</v>
      </c>
      <c r="B5">
        <v>64</v>
      </c>
      <c r="C5">
        <v>10.1</v>
      </c>
      <c r="D5">
        <v>0.4</v>
      </c>
      <c r="E5">
        <v>8.1</v>
      </c>
      <c r="F5">
        <v>3.8</v>
      </c>
      <c r="H5">
        <f t="shared" ref="H5:H10" si="1">C5+D5</f>
        <v>10.5</v>
      </c>
      <c r="I5">
        <f t="shared" ref="I5:I10" si="2">(C5-D5)/H5</f>
        <v>0.92380952380952375</v>
      </c>
      <c r="J5">
        <f t="shared" si="0"/>
        <v>0.40952380952380951</v>
      </c>
      <c r="O5">
        <f>(I5+J6)</f>
        <v>1.8086409844836813</v>
      </c>
      <c r="P5">
        <f>(J5-I6)</f>
        <v>0.73817549491706802</v>
      </c>
      <c r="Q5">
        <f>ACOS(SQRT(O5^2+P5^2)-1)</f>
        <v>0.30621863264839133</v>
      </c>
      <c r="S5">
        <f t="shared" ref="S5:S9" si="3">0.5*(ATAN(P5/O5))</f>
        <v>0.19375116440031431</v>
      </c>
    </row>
    <row r="6" spans="1:19" x14ac:dyDescent="0.25">
      <c r="A6" t="s">
        <v>3</v>
      </c>
      <c r="B6">
        <v>64</v>
      </c>
      <c r="C6">
        <v>47.8</v>
      </c>
      <c r="D6">
        <v>94.6</v>
      </c>
      <c r="E6">
        <v>134</v>
      </c>
      <c r="F6">
        <v>8</v>
      </c>
      <c r="H6">
        <f t="shared" si="1"/>
        <v>142.39999999999998</v>
      </c>
      <c r="I6">
        <f t="shared" si="2"/>
        <v>-0.32865168539325845</v>
      </c>
      <c r="J6">
        <f t="shared" si="0"/>
        <v>0.88483146067415741</v>
      </c>
    </row>
    <row r="7" spans="1:19" x14ac:dyDescent="0.25">
      <c r="A7" t="s">
        <v>6</v>
      </c>
      <c r="B7">
        <v>128</v>
      </c>
      <c r="C7">
        <v>10.1</v>
      </c>
      <c r="D7">
        <v>1.2</v>
      </c>
      <c r="E7">
        <v>9.5</v>
      </c>
      <c r="F7">
        <v>2.4</v>
      </c>
      <c r="H7">
        <f t="shared" si="1"/>
        <v>11.299999999999999</v>
      </c>
      <c r="I7">
        <f t="shared" si="2"/>
        <v>0.78761061946902666</v>
      </c>
      <c r="J7">
        <f t="shared" si="0"/>
        <v>0.62831858407079644</v>
      </c>
      <c r="O7">
        <f>(I7+J8)</f>
        <v>1.4462289963972628</v>
      </c>
      <c r="P7">
        <f>(J7-I8)</f>
        <v>1.1440798181418899</v>
      </c>
      <c r="Q7">
        <f>ACOS(SQRT(O7^2+P7^2)-1)</f>
        <v>0.56601701391908099</v>
      </c>
      <c r="S7">
        <f t="shared" si="3"/>
        <v>0.33463845975755574</v>
      </c>
    </row>
    <row r="8" spans="1:19" x14ac:dyDescent="0.25">
      <c r="A8" t="s">
        <v>3</v>
      </c>
      <c r="B8">
        <v>128</v>
      </c>
      <c r="C8">
        <v>36.1</v>
      </c>
      <c r="D8">
        <v>113</v>
      </c>
      <c r="E8">
        <v>124</v>
      </c>
      <c r="F8">
        <v>25.8</v>
      </c>
      <c r="H8">
        <f t="shared" si="1"/>
        <v>149.1</v>
      </c>
      <c r="I8">
        <f t="shared" si="2"/>
        <v>-0.51576123407109331</v>
      </c>
      <c r="J8">
        <f t="shared" si="0"/>
        <v>0.6586183769282361</v>
      </c>
    </row>
    <row r="9" spans="1:19" x14ac:dyDescent="0.25">
      <c r="A9" t="s">
        <v>6</v>
      </c>
      <c r="B9">
        <v>255</v>
      </c>
      <c r="C9">
        <v>2.5</v>
      </c>
      <c r="D9">
        <v>8.4</v>
      </c>
      <c r="E9">
        <v>8.8000000000000007</v>
      </c>
      <c r="F9">
        <v>2.1</v>
      </c>
      <c r="H9">
        <f t="shared" si="1"/>
        <v>10.9</v>
      </c>
      <c r="I9">
        <f t="shared" si="2"/>
        <v>-0.54128440366972475</v>
      </c>
      <c r="J9">
        <f t="shared" si="0"/>
        <v>0.6146788990825689</v>
      </c>
      <c r="O9">
        <f>I9+J10</f>
        <v>-1.2362778160544416</v>
      </c>
      <c r="P9">
        <f>J9-I10</f>
        <v>1.2101993206899471</v>
      </c>
      <c r="Q9">
        <f>ACOS(SQRT(O9^2+P9^2)-1)</f>
        <v>0.75244678952478061</v>
      </c>
      <c r="S9">
        <f t="shared" si="3"/>
        <v>-0.38736947789882709</v>
      </c>
    </row>
    <row r="10" spans="1:19" x14ac:dyDescent="0.25">
      <c r="A10" t="s">
        <v>3</v>
      </c>
      <c r="B10">
        <v>255</v>
      </c>
      <c r="C10">
        <v>30.7</v>
      </c>
      <c r="D10">
        <v>121.1</v>
      </c>
      <c r="E10">
        <v>24</v>
      </c>
      <c r="F10">
        <v>129.5</v>
      </c>
      <c r="H10">
        <f t="shared" si="1"/>
        <v>151.79999999999998</v>
      </c>
      <c r="I10">
        <f t="shared" si="2"/>
        <v>-0.59552042160737817</v>
      </c>
      <c r="J10">
        <f t="shared" si="0"/>
        <v>-0.69499341238471679</v>
      </c>
    </row>
    <row r="14" spans="1:19" x14ac:dyDescent="0.25">
      <c r="C1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Abhinandan Yadav</dc:creator>
  <cp:lastModifiedBy>Abhi Mondal</cp:lastModifiedBy>
  <dcterms:created xsi:type="dcterms:W3CDTF">2026-02-03T10:28:53Z</dcterms:created>
  <dcterms:modified xsi:type="dcterms:W3CDTF">2026-02-23T10:13:02Z</dcterms:modified>
</cp:coreProperties>
</file>